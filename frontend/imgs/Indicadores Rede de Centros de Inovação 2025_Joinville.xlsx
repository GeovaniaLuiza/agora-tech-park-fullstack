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 JOINVILLE" sheetId="1" r:id="rId4"/>
  </sheets>
  <definedNames/>
  <calcPr/>
  <extLst>
    <ext uri="GoogleSheetsCustomDataVersion2">
      <go:sheetsCustomData xmlns:go="http://customooxmlschemas.google.com/" r:id="rId5" roundtripDataChecksum="f8+ji4QhXfNz9lvfokQFXmQFFUkxtZMN8x0CP+M2ydk="/>
    </ext>
  </extLst>
</workbook>
</file>

<file path=xl/sharedStrings.xml><?xml version="1.0" encoding="utf-8"?>
<sst xmlns="http://schemas.openxmlformats.org/spreadsheetml/2006/main" count="4782" uniqueCount="1931">
  <si>
    <t>CENTRO DE INOVAÇÃO</t>
  </si>
  <si>
    <t>JOINVILLE</t>
  </si>
  <si>
    <t>Resumo das empresas</t>
  </si>
  <si>
    <t>Nº de Novas Startups</t>
  </si>
  <si>
    <t>Massa Salarial Média verificada nas novas Startups</t>
  </si>
  <si>
    <t>Nº de Startups Ativas</t>
  </si>
  <si>
    <t>Massa Salarial Média verificada nas Startups Ativas</t>
  </si>
  <si>
    <t>Nº de Novas Empresas</t>
  </si>
  <si>
    <t>Massa Salarial Média verificada nas novas Empresas</t>
  </si>
  <si>
    <t>Nº de Empresas Ativas</t>
  </si>
  <si>
    <t>Massa Salarial Média verificada nas Empresas Ativas</t>
  </si>
  <si>
    <t>Nº Total de Novas Empresas Ativas</t>
  </si>
  <si>
    <t>Nº Total de Empresas Ativas</t>
  </si>
  <si>
    <t>Faturamento das Empresas Atendidas</t>
  </si>
  <si>
    <t>R$ 104.750.833.536,89</t>
  </si>
  <si>
    <t>Arrecadação Total das Empresas Atendidas</t>
  </si>
  <si>
    <t>R$ 25.628.104.987,96</t>
  </si>
  <si>
    <t>Nº Total de Colaboradores das Empresas Atendidas</t>
  </si>
  <si>
    <t>Saúde financeira do Centro de Inovação</t>
  </si>
  <si>
    <t>Receita Total do Centro</t>
  </si>
  <si>
    <t>Custos e Despesas Totais do Centro</t>
  </si>
  <si>
    <t>Resultado Mensal</t>
  </si>
  <si>
    <t>% de Despesas Custeadas com Receitas Próprias</t>
  </si>
  <si>
    <t>Nº de Pessoas na Equipe do Centro de Inovação</t>
  </si>
  <si>
    <t>Ocupação do Prédio</t>
  </si>
  <si>
    <t>Captação de recursos por projetos</t>
  </si>
  <si>
    <t>Nº de Projetos Submetidos para Editais</t>
  </si>
  <si>
    <t>Nº de Projetos Ganhos em Editais</t>
  </si>
  <si>
    <t>Valor de Projetos Ganhos em Editais</t>
  </si>
  <si>
    <t>Visitantes</t>
  </si>
  <si>
    <t>Nº de Visitantes no Centro</t>
  </si>
  <si>
    <t>Capacitações</t>
  </si>
  <si>
    <t>Valor de Projetos de Capacitação de Empresas</t>
  </si>
  <si>
    <t>Nº de Capacitações Realizadas</t>
  </si>
  <si>
    <t>Nº de Empresas Capacitadas</t>
  </si>
  <si>
    <t>Nº de Pessoas Capacitadas</t>
  </si>
  <si>
    <t>Funções</t>
  </si>
  <si>
    <t>Nº de Funções Ativas</t>
  </si>
  <si>
    <t>Lista</t>
  </si>
  <si>
    <t>Data início</t>
  </si>
  <si>
    <t>Data Final</t>
  </si>
  <si>
    <t>Local</t>
  </si>
  <si>
    <t>Temática</t>
  </si>
  <si>
    <t>Modo</t>
  </si>
  <si>
    <t>Tipo</t>
  </si>
  <si>
    <t>Nº de Participantes</t>
  </si>
  <si>
    <t>Nº de Empresas Participantes</t>
  </si>
  <si>
    <t>Governança do Ecossistema</t>
  </si>
  <si>
    <t>Em operação</t>
  </si>
  <si>
    <t>Ágora Tech Park</t>
  </si>
  <si>
    <t>Coordenação e orquestração das relações entre os participantes do ecossistema</t>
  </si>
  <si>
    <t>Presencial</t>
  </si>
  <si>
    <t>Eventos, Workshops, Cursos, Reuniões, Projetos, Programas</t>
  </si>
  <si>
    <t xml:space="preserve">Informação </t>
  </si>
  <si>
    <t>Gestão e circulação eficiente de dados, conhecimentos e insights entre os atores do ecossistema</t>
  </si>
  <si>
    <t>Eventos e Reuniões</t>
  </si>
  <si>
    <t>Inovação</t>
  </si>
  <si>
    <t>Promoção da criação colaborativa e contínua de soluções inovadoras do ecossistema</t>
  </si>
  <si>
    <t>Talentos</t>
  </si>
  <si>
    <t>Formação e gestão estratégica de capital humano do ecossistema</t>
  </si>
  <si>
    <t>Workshops e Cursos</t>
  </si>
  <si>
    <t>Capital</t>
  </si>
  <si>
    <t>Fomento e alocação estratégica de recursos financeiros do ecossistema</t>
  </si>
  <si>
    <t>Eventos, Workshops, Cursos, Reuniões, Programas</t>
  </si>
  <si>
    <t>Desenvolvimento Urbano</t>
  </si>
  <si>
    <t>Criação de condições físicas, sociais e econômicas que favoreçam a inovação, a sustentabilidade, o bem-estar e a integração dos diversos componentes do ecossistema.</t>
  </si>
  <si>
    <t>Eventos, Reuniões, Projetos</t>
  </si>
  <si>
    <t>Comunidade</t>
  </si>
  <si>
    <t>Criação e fortalecimento de vínculos sociais e culturais entre os participantes do ecossistema</t>
  </si>
  <si>
    <t>Eventos, Workshops, Reuniões, Projetos, Programas</t>
  </si>
  <si>
    <t>Programas</t>
  </si>
  <si>
    <t>Nº de Programas Iniciados</t>
  </si>
  <si>
    <t>Ágora.Tour</t>
  </si>
  <si>
    <t>Ágora Tech Park &amp; Perini Bussiness Park</t>
  </si>
  <si>
    <t>Geração de Negócios</t>
  </si>
  <si>
    <t>Programa de experiência e imersão</t>
  </si>
  <si>
    <t>12.000</t>
  </si>
  <si>
    <t>+150</t>
  </si>
  <si>
    <t>Liga Ágora</t>
  </si>
  <si>
    <t>Ágora Tech Park &amp; IES de Joinville</t>
  </si>
  <si>
    <t>Formação de Inovadores</t>
  </si>
  <si>
    <t>Roda de conversa e mentoria</t>
  </si>
  <si>
    <t>Ágora.Cultural</t>
  </si>
  <si>
    <t>Cultura</t>
  </si>
  <si>
    <t>Mentorias, Outro</t>
  </si>
  <si>
    <t>Ágora.Master</t>
  </si>
  <si>
    <t>Desenvolvimento profissional contínuo com foco em inovação e transformação de mindset</t>
  </si>
  <si>
    <t>Informativo</t>
  </si>
  <si>
    <t>Ágora.News</t>
  </si>
  <si>
    <t>Ágora Tech Park (Redes Sociais)</t>
  </si>
  <si>
    <t>Série de boletins e atualizações periódicas</t>
  </si>
  <si>
    <t>Online</t>
  </si>
  <si>
    <t>Softville Ágora -  Incubadora</t>
  </si>
  <si>
    <t>Jornada completa para startups, desde a fase inicial até a escala,</t>
  </si>
  <si>
    <t>Incubação para Startups de Base Tecnológica</t>
  </si>
  <si>
    <t>P.I.R.E</t>
  </si>
  <si>
    <t>Senai e Ágora Tech Park</t>
  </si>
  <si>
    <t>É a teoria da startup enxuta, porém focado para empresas tradicionais.</t>
  </si>
  <si>
    <t>Híbrido</t>
  </si>
  <si>
    <t>Mentorias e Capacitações</t>
  </si>
  <si>
    <t>Ágora.Start - Pré-Incubadora</t>
  </si>
  <si>
    <t>Sala da do Ágora.Start prédio UNI</t>
  </si>
  <si>
    <t>Ideação e Validação Inicial</t>
  </si>
  <si>
    <t>JEDI - Jornada de Empreendedorismo e Inovação</t>
  </si>
  <si>
    <t>Criação de negócios inovadores</t>
  </si>
  <si>
    <t>Capacitação</t>
  </si>
  <si>
    <t>Startup Weekend</t>
  </si>
  <si>
    <t>06//04/2025</t>
  </si>
  <si>
    <t>Empreendedorismo, inovação e criação de Startups em 54 horas</t>
  </si>
  <si>
    <t>Mentoria e empreendorismo</t>
  </si>
  <si>
    <t>Startup SC</t>
  </si>
  <si>
    <t>Capacitar empreendedores e Promover cultura de inovação</t>
  </si>
  <si>
    <t>Aceleração, mentorias</t>
  </si>
  <si>
    <t>Experience Day</t>
  </si>
  <si>
    <t>Ágora e Lab criativo</t>
  </si>
  <si>
    <t>Imersão no universo da liderança visionária, da inovação disruptiva e do empreendedorismo de impacto.</t>
  </si>
  <si>
    <t xml:space="preserve">Nascer </t>
  </si>
  <si>
    <t>Da ideia ao crescimento do seu projeto, negócio ou startup!</t>
  </si>
  <si>
    <t>Programa gratuito de pré-incubação de ideias e negócios inovadores em Santa Catarina</t>
  </si>
  <si>
    <t>Prototipagem com IA</t>
  </si>
  <si>
    <t>Link Lab</t>
  </si>
  <si>
    <t>Prototipagem de MVPs utilizando Inteligência Artificial Generativa</t>
  </si>
  <si>
    <t>Workshop prático</t>
  </si>
  <si>
    <t>Eleva Incubadora</t>
  </si>
  <si>
    <t>Incubação para startups e negócios de impacto socioambiental</t>
  </si>
  <si>
    <t>Jornada baseada em consultorias, mentorias com especialistas, workshops, rodas de negócio, capacitações, entre outras atividades que apoiem no desenvolvimento dos negócios incubados. Além disso, teremos também um relatório para publicação da medição do impacto gerado pelos negócios incubados</t>
  </si>
  <si>
    <t>ExpoInovação 2025</t>
  </si>
  <si>
    <t>18/09 2025</t>
  </si>
  <si>
    <t>Expocentro Edmundo Doubrawa, Joinville (SC)</t>
  </si>
  <si>
    <t>Evento de exposição e networking</t>
  </si>
  <si>
    <t>Inovação, tecnologia e negócios</t>
  </si>
  <si>
    <t>Hub de Aceleração - Join VC</t>
  </si>
  <si>
    <t>Empreendedorismo, Inovação e Investimento</t>
  </si>
  <si>
    <t>Aceleração e Investimento</t>
  </si>
  <si>
    <t>Eventos</t>
  </si>
  <si>
    <t>Nº de Eventos Realizados</t>
  </si>
  <si>
    <t>Data</t>
  </si>
  <si>
    <t>Mentoria GesLife</t>
  </si>
  <si>
    <t>Lab Criativo - Prédio UNI</t>
  </si>
  <si>
    <t>Equilíbrio Vida &amp; Carreira</t>
  </si>
  <si>
    <t>Mentoria</t>
  </si>
  <si>
    <t>Softville - onboarding dos novos incubados</t>
  </si>
  <si>
    <t>Sala de treinamento/Prédio HUB</t>
  </si>
  <si>
    <t>Evento de Onboarding e Integração para Novos Incubados</t>
  </si>
  <si>
    <t>Onboarding</t>
  </si>
  <si>
    <t>Pixida - Treinamento</t>
  </si>
  <si>
    <t>Capacitação técnica empresarial</t>
  </si>
  <si>
    <t>Treinamento</t>
  </si>
  <si>
    <t>Kick Off - WONIT</t>
  </si>
  <si>
    <t>Reunião de alinhamento de objetivos</t>
  </si>
  <si>
    <t>Kick off</t>
  </si>
  <si>
    <t>Baja - UFSC</t>
  </si>
  <si>
    <t>Apresentação insitucional para captação de patrocínio</t>
  </si>
  <si>
    <t>Apresentação</t>
  </si>
  <si>
    <t xml:space="preserve">Reunião Governança </t>
  </si>
  <si>
    <t>Sala de Metodologia 01 - Prédio UNI</t>
  </si>
  <si>
    <t xml:space="preserve">Alinhar estratégias de Governança </t>
  </si>
  <si>
    <t>Reunião</t>
  </si>
  <si>
    <t>Workshop Excelência no Atendimento ao Cliente</t>
  </si>
  <si>
    <t>Encontro sobre a importância de um atendimento de alta qualidade</t>
  </si>
  <si>
    <t>Workshop</t>
  </si>
  <si>
    <t>PALESTRA - DOTERRA</t>
  </si>
  <si>
    <t>Auditório -  Prédio HUB</t>
  </si>
  <si>
    <t>Capacitação para promover os produtos</t>
  </si>
  <si>
    <t>Palestra</t>
  </si>
  <si>
    <t>Convenção de vendas 2025 - Alltech</t>
  </si>
  <si>
    <t>22/01/2025 e 24/01/2025</t>
  </si>
  <si>
    <t>Alinhar estratégias, motivar a equipe comercial e apresentar novidades para impulsionar as vendas em 2025,</t>
  </si>
  <si>
    <t>Convenção</t>
  </si>
  <si>
    <t>ROGGA - Kick Off do DAF 2025</t>
  </si>
  <si>
    <t>Águia Consultoria x Rogga</t>
  </si>
  <si>
    <t>Reunião estratégica empresarial</t>
  </si>
  <si>
    <t>Treinamento - ABECKER EMPREENDIMENTOS IMOBILIARIOS LTDA</t>
  </si>
  <si>
    <t>Felipe Camacho Calvo</t>
  </si>
  <si>
    <t>Palestra sobre inovação, tecnologia, empreendedorismo</t>
  </si>
  <si>
    <t>Sala de treinamento - Prédio HUB</t>
  </si>
  <si>
    <t>Reunião de alinhamento de objetivos da empresa</t>
  </si>
  <si>
    <t xml:space="preserve">SINDICATO NACIONAL DA INDUSTRIA PEÇAS AUTOMOTORES </t>
  </si>
  <si>
    <t>Reunião institucional sobre o sindicato</t>
  </si>
  <si>
    <t>23/01/2025 e 24/01/2025</t>
  </si>
  <si>
    <t>Escadaria - Prédio UNI</t>
  </si>
  <si>
    <t>Encontro do time comercial</t>
  </si>
  <si>
    <t>AWS USER GROUPS</t>
  </si>
  <si>
    <t>Encontros técnicos focado em tecnologia da Amazon Web Services (AWS).</t>
  </si>
  <si>
    <t>AinGlobal - Pedro Henrique Gaieuski</t>
  </si>
  <si>
    <t>Acorde - Level 08</t>
  </si>
  <si>
    <t>Sala de Metodologia 02 (mini auditório)  - Prédio UNI</t>
  </si>
  <si>
    <t>JOINVILLE IMPLEMENTOS</t>
  </si>
  <si>
    <t>21/01/2025 e  23/01/2025</t>
  </si>
  <si>
    <t>Sala de Metodologia Completa - Prédio UNI</t>
  </si>
  <si>
    <t>Ain Global</t>
  </si>
  <si>
    <t>Grupo Perini / Perville</t>
  </si>
  <si>
    <t>Rooftop 02 / Prédio UNI</t>
  </si>
  <si>
    <t>Gestão do parque</t>
  </si>
  <si>
    <t>Colônia de Férias Fab Lab Joinville</t>
  </si>
  <si>
    <t>27/01/2025 a 31/01/2025</t>
  </si>
  <si>
    <t>Fab Lab Joinville</t>
  </si>
  <si>
    <t>Atividades maker para crianças (programação, eletrônica, oficinas criativas)</t>
  </si>
  <si>
    <t>Colônia de férias / oficina</t>
  </si>
  <si>
    <t>CNEX - CENTRO DE EXCELENCIA EMPRESARIAL S.A</t>
  </si>
  <si>
    <t>Rooftop Principal 01 / Prédio UNI</t>
  </si>
  <si>
    <t>Apresentação institucional</t>
  </si>
  <si>
    <t>Sicredi</t>
  </si>
  <si>
    <t>Cooperativismo, finanças ou apresentação institucional</t>
  </si>
  <si>
    <t>Corporativol</t>
  </si>
  <si>
    <t>Projeto do Cluster</t>
  </si>
  <si>
    <t>Desenvolvimento regional, inovação, parceria setorial</t>
  </si>
  <si>
    <t>Institucional</t>
  </si>
  <si>
    <t>Pré reserva - Guhring</t>
  </si>
  <si>
    <t>Rooftop Completo / Prédio UNI</t>
  </si>
  <si>
    <t>Evento técnico</t>
  </si>
  <si>
    <t>Pré-reserva Corporativa</t>
  </si>
  <si>
    <t>Dynamic Travel</t>
  </si>
  <si>
    <t>Turismo corporativo</t>
  </si>
  <si>
    <t>Corporativo / Comercial</t>
  </si>
  <si>
    <t>Franciele Dalzoto - Orbenk</t>
  </si>
  <si>
    <t>Pré-reserva Guhring</t>
  </si>
  <si>
    <t>Corporativo / Técnico</t>
  </si>
  <si>
    <t>UNIQUE CONSULTORIA ADUANEIRA LTDA</t>
  </si>
  <si>
    <t>Institucional / Inovação</t>
  </si>
  <si>
    <t>Softville</t>
  </si>
  <si>
    <t>Evento institucional</t>
  </si>
  <si>
    <t>Corporativo Interno</t>
  </si>
  <si>
    <t>Reunião Estratégica dos Projetos Estruturantes</t>
  </si>
  <si>
    <t>Reunião estratégica</t>
  </si>
  <si>
    <t>Workshop Excelência no Atendimento ao Cliente II</t>
  </si>
  <si>
    <t xml:space="preserve"> Workshop</t>
  </si>
  <si>
    <t>Guilherme Corrente - SEBRAE</t>
  </si>
  <si>
    <t>Sala de treinamento -  Prédio HUB</t>
  </si>
  <si>
    <t>Palestra sobre empreendedorismo, inovação, gestão, desenvolvimento de pequenos negócios e transformação digital</t>
  </si>
  <si>
    <t xml:space="preserve"> Palestra</t>
  </si>
  <si>
    <t xml:space="preserve">SoftVille - Melissa Nunes </t>
  </si>
  <si>
    <t>Palestra sobre inovação, tecnologia, incubação e empreendedorismo</t>
  </si>
  <si>
    <t>Whirlpool - Beatriz Goulart Grimm</t>
  </si>
  <si>
    <t>Palestra sobre indústria, inovação, sustentabilidade, liderança, diversidade</t>
  </si>
  <si>
    <t>WTC PARTICIPACOES S.A</t>
  </si>
  <si>
    <t>Negócios, networking corporativo, internacionalização, inovação e liderança</t>
  </si>
  <si>
    <t>Reunião da Governança do Ecossistema de Inovação</t>
  </si>
  <si>
    <t>Diklatex Industria Têxtil</t>
  </si>
  <si>
    <t>Inovação, sustentabilidade, moda, tecnologia de materiais e transformação industrial.</t>
  </si>
  <si>
    <t>TARGET - Evento Data Experience</t>
  </si>
  <si>
    <t>Palestra sobre Uso estratégico de dados, inteligência de mercado, tecnologia da informação e experiência do usuário com dados</t>
  </si>
  <si>
    <t>ERZINGER</t>
  </si>
  <si>
    <t>Treinamento tecnologia, inovação industrial, eficiência produtiva e soluções de engenharia de ponta.</t>
  </si>
  <si>
    <t>Yak Tractors</t>
  </si>
  <si>
    <t>21/02/2025 e 22/02/2025</t>
  </si>
  <si>
    <t>Evento de lançamento ou pré-venda de um novo modelo de trator da marca YAC,</t>
  </si>
  <si>
    <t>Termotécnica</t>
  </si>
  <si>
    <t>24/02/2025 e 25/02/2025</t>
  </si>
  <si>
    <t>Capacitação empresarial</t>
  </si>
  <si>
    <t>Frasle - Evento Interno</t>
  </si>
  <si>
    <t>03/02/2025 a 05/02/2025</t>
  </si>
  <si>
    <t>Auditório - Prédio HUB</t>
  </si>
  <si>
    <t>Capacitação sobre engajamento, inovação, melhoria contínua, cultura organizacional, qualidade e segurança.no setor automotivo</t>
  </si>
  <si>
    <t>INTELIGÊNCIA ARTIFICIAL - UNISENAI</t>
  </si>
  <si>
    <t>Workshop com a temática focada no impacto, aplicações e futuro da IA</t>
  </si>
  <si>
    <t xml:space="preserve">Cisabrasile </t>
  </si>
  <si>
    <t>11/02/2025 e 12/02/2025</t>
  </si>
  <si>
    <t>Jantar do Join.Valle</t>
  </si>
  <si>
    <t>Celebrar a colaboração com a Softville (que completava 30 anos)</t>
  </si>
  <si>
    <t>Evento organização</t>
  </si>
  <si>
    <t>Evento de Boas Vindas - 2025 / Ágora x Perini</t>
  </si>
  <si>
    <t>Estreitar conexões, fomentar parcerias e inspirar a colaboração entre Ágora e Perini.</t>
  </si>
  <si>
    <t xml:space="preserve"> Apresentação</t>
  </si>
  <si>
    <t>Lançamento do ALKA APP</t>
  </si>
  <si>
    <t>Inovação tecnológica, facilidade de uso, benefícios para o usuário e o impacto que o aplicativo vai trazer para o público-alvo.</t>
  </si>
  <si>
    <t>Omunga</t>
  </si>
  <si>
    <t>Impacto social, empoderamento, diversidade e inclusão, a temática geralmente gira em torno desses valores, além de desenvolvimento comunitário e transformação social.</t>
  </si>
  <si>
    <t>Invest SC</t>
  </si>
  <si>
    <t>Atração de investimentos, desenvolvimento econômico e fomento empresarial no estado de Santa Catarina</t>
  </si>
  <si>
    <t>Join.Valle</t>
  </si>
  <si>
    <t>Fortalecer o ecossistema local de startups, empresas e inovação.</t>
  </si>
  <si>
    <t>MILENA SILVA - Meetup Bitrix24 / CRMTHINK</t>
  </si>
  <si>
    <t>Gestão de relacionamento com clientes (CRM), otimização de processos, automação e uso da plataforma Bitrix24 para impulsionar negócios.</t>
  </si>
  <si>
    <t>CATOLICA SC</t>
  </si>
  <si>
    <t>Capacitação institucional</t>
  </si>
  <si>
    <t>EMPREENDEGOL PROMOCAO DE VENDAS LTDA</t>
  </si>
  <si>
    <t>Inovação em vendas, engajamento de clientes e estratégias eficazes de promoção</t>
  </si>
  <si>
    <t xml:space="preserve">Q-Assist Inteligência Artificial </t>
  </si>
  <si>
    <t>Capacitação sobre assistência, suporte tecnológico, qualidade e eficiência operacional</t>
  </si>
  <si>
    <t>Fundação Softville</t>
  </si>
  <si>
    <t>Capacitação ligada a inovação, tecnologia, empreendedorismo, educação e desenvolvimento social</t>
  </si>
  <si>
    <t>Planejamento Quest-Feira de Ciências</t>
  </si>
  <si>
    <t>Incentivar a iniciação científica e a inovação entre estudantes do ensino fundamental e médio, proporcionando uma plataforma para a exposição de projetos científicos e tecnológicos.</t>
  </si>
  <si>
    <t xml:space="preserve">LIGA ÁGORA </t>
  </si>
  <si>
    <t>Capacitação sobre a união de talentos, troca de conhecimento e fortalecimento de parcerias.</t>
  </si>
  <si>
    <t xml:space="preserve">Rogga </t>
  </si>
  <si>
    <t>CONSELHO DE SEGURANÇA DE JLLE</t>
  </si>
  <si>
    <t>Capacitação insitucional</t>
  </si>
  <si>
    <t>DAHER E JACOB ADVOGADOS</t>
  </si>
  <si>
    <t>Inauguração de Sala</t>
  </si>
  <si>
    <t>LANÇAMENTO LIGA ÁGORA</t>
  </si>
  <si>
    <t>Inovação, conexão e protagonismo</t>
  </si>
  <si>
    <t xml:space="preserve">NUCLEO VALE BOREAL </t>
  </si>
  <si>
    <t>Encontro do Núcleo Vale Boreal,</t>
  </si>
  <si>
    <t>Fundação Dom Cabral / Fritz Muller - Programa: Inteligência Artificial para lideres</t>
  </si>
  <si>
    <t>DOCOL</t>
  </si>
  <si>
    <t>SCHULZ</t>
  </si>
  <si>
    <t xml:space="preserve">UFSC - 10 anos do programa de pós-graduação de engenharia e ciências mecânicas (PECM) </t>
  </si>
  <si>
    <t>Temática que una tradição, excelência acadêmica, inovação e impacto científico/tecnológico.</t>
  </si>
  <si>
    <t>Instituto Pratica - Conexão Praticar</t>
  </si>
  <si>
    <t>14/03/2025 e 15/03/2025</t>
  </si>
  <si>
    <t>Aprendizado ativo, inovação, extensão, vivência, protagonismo estudantil e impacto social</t>
  </si>
  <si>
    <t>Pré-Reserva Rafael Nilsen Fortes - Imersão Social Boss</t>
  </si>
  <si>
    <t>Transformação social, engajamento comunitário e liderança jovem,</t>
  </si>
  <si>
    <t>SOFTEXPERT</t>
  </si>
  <si>
    <t>19/03/2025 e 20/03/2025</t>
  </si>
  <si>
    <t>BPR ASSESSORIA</t>
  </si>
  <si>
    <t>PRÓ-RIM</t>
  </si>
  <si>
    <t>Sebrae</t>
  </si>
  <si>
    <t>Perville / Itaú</t>
  </si>
  <si>
    <t>LANÇAMENTO LIGA</t>
  </si>
  <si>
    <t>Orbenk</t>
  </si>
  <si>
    <t>Reunião planejamento estratégico</t>
  </si>
  <si>
    <t>Arcode - Level 08</t>
  </si>
  <si>
    <t>Evento Imersão Social Boss - CONTENT CRIATIVO</t>
  </si>
  <si>
    <t>Bonja Talks</t>
  </si>
  <si>
    <t>Ágora Tour - Associação Comercial, Industrial e de Serviços de Novo Hamburgo</t>
  </si>
  <si>
    <t>26/03/2025 e 27/03/2025</t>
  </si>
  <si>
    <t>PRÉ RESERVA - LANÇAMENTO LIGA</t>
  </si>
  <si>
    <t>ConectaA Weekend - MCI X Convention &amp; Visitors Bureau x Ágora</t>
  </si>
  <si>
    <t>Pré reserva - Evento dia das Mulheres</t>
  </si>
  <si>
    <t>Pré Planejamento Estratégico Copapel</t>
  </si>
  <si>
    <t>ACREDICOOP - Cilene</t>
  </si>
  <si>
    <t>Criar Ação  - Krona</t>
  </si>
  <si>
    <t>13/03/2025 e 14/03/2025</t>
  </si>
  <si>
    <t>AinGlobal</t>
  </si>
  <si>
    <t>Sala de Metodologia 01 -  Prédio UNI</t>
  </si>
  <si>
    <t xml:space="preserve">Communitech / Vinycius Silveira </t>
  </si>
  <si>
    <t>Stagio</t>
  </si>
  <si>
    <t>Estágio, integração de jovens talentos, programas de trainee</t>
  </si>
  <si>
    <t>OUSAR CONSULTORIA E PUBLICIDADE</t>
  </si>
  <si>
    <t>Comunicação, branding, publicidade, inovação</t>
  </si>
  <si>
    <t>Patrícia Kemczinski</t>
  </si>
  <si>
    <t>Palestra, mentoria ou evento com profissional convidada</t>
  </si>
  <si>
    <t>Relacionamento empresarial, inovação, networking</t>
  </si>
  <si>
    <t>Empresas jubiladas do Parque Perini</t>
  </si>
  <si>
    <t>Evento comemorativo ou de homenagem a empresas aposentadas</t>
  </si>
  <si>
    <t>PRÉ-RESERVA BPR ASSESSORIA</t>
  </si>
  <si>
    <t>Evento de assessoria empresarial, planejamento ou compliance</t>
  </si>
  <si>
    <t>Evento Multiseg</t>
  </si>
  <si>
    <t>Segurança do trabalho, gestão de riscos, serviços terceirizados</t>
  </si>
  <si>
    <t>Guhring - (Karoline Matos)</t>
  </si>
  <si>
    <t>Apresentação técnica, produto ou treinamento (Karoline como contato)</t>
  </si>
  <si>
    <t>Arduino Day 2025</t>
  </si>
  <si>
    <t>22/03/2025</t>
  </si>
  <si>
    <t>Farol / Fab Lab Joinville</t>
  </si>
  <si>
    <t>Arduino, eletrônica e robótica (oficinas, competições e mostra de projetos)</t>
  </si>
  <si>
    <t>Oficinas / mostra / encontro</t>
  </si>
  <si>
    <t>Clube de Computação Criativa</t>
  </si>
  <si>
    <t>Programação e eletrônica com viés artístico/ criativo</t>
  </si>
  <si>
    <t xml:space="preserve">Presencial </t>
  </si>
  <si>
    <t>Clube / meetup contínuo</t>
  </si>
  <si>
    <t>Como Funciona Impressão 3D</t>
  </si>
  <si>
    <t>Fabricação Digital, Impressão 3D</t>
  </si>
  <si>
    <t xml:space="preserve">TREINAMENTO FT </t>
  </si>
  <si>
    <t>01/04/2025 e 02/04/2025</t>
  </si>
  <si>
    <t>Capacitação técnica corporativa</t>
  </si>
  <si>
    <t>Como Funciona CNC Router e Laser</t>
  </si>
  <si>
    <t>Fabricação Digital, CNC, Automação</t>
  </si>
  <si>
    <t>Tecnofibra</t>
  </si>
  <si>
    <t>02/04/2025 e 03/04/2025</t>
  </si>
  <si>
    <t>Tecnologia industrial</t>
  </si>
  <si>
    <t>Reunião Corporativa</t>
  </si>
  <si>
    <t>Planejamento Estratégico Copapel</t>
  </si>
  <si>
    <t>04/04/2025 e 05/04/2025</t>
  </si>
  <si>
    <t>Startup Weekend  (SW)</t>
  </si>
  <si>
    <t>04/04/2025 e 06/04/2025</t>
  </si>
  <si>
    <t>Inovação e empreendedorismo</t>
  </si>
  <si>
    <t>Hackathon</t>
  </si>
  <si>
    <t>Roda de Corporates</t>
  </si>
  <si>
    <t>On-line</t>
  </si>
  <si>
    <t>Inovação Aberta, tecnologia e empreendedorismo</t>
  </si>
  <si>
    <t>Siemens Healthineers</t>
  </si>
  <si>
    <t>Inovações em saúde</t>
  </si>
  <si>
    <t>Apresentação Institucional</t>
  </si>
  <si>
    <t>Workshop Dohler</t>
  </si>
  <si>
    <t>Treinamento corporativo</t>
  </si>
  <si>
    <t>MOTOR DE CONTEUDO LTDA</t>
  </si>
  <si>
    <t>Comunicação e educação executiva</t>
  </si>
  <si>
    <t>PRATICAR TREINAMENTOS LTDA</t>
  </si>
  <si>
    <t>Desenvolvimento humano e profissional com foco em liderança, inteligência emocional, autoconhecimento e performance organizacional.</t>
  </si>
  <si>
    <t>Treinamento Corporativo</t>
  </si>
  <si>
    <t>JEDI</t>
  </si>
  <si>
    <t>26/04/2025 a 24/05/2025</t>
  </si>
  <si>
    <t>Desenvolvimento pessoal.</t>
  </si>
  <si>
    <t>Internacionalização</t>
  </si>
  <si>
    <t>Soluções empresariais ou inovação industrial aplicada</t>
  </si>
  <si>
    <t>Apresentação corporativa</t>
  </si>
  <si>
    <t>Lotioito Soluções e Negócios - Melissa</t>
  </si>
  <si>
    <t>Estratégias de negócios e transformação digital</t>
  </si>
  <si>
    <t>PRÉ RESERVA - PRÓ RIM</t>
  </si>
  <si>
    <t>Pré-lançamento de programas/projetos institucionais.</t>
  </si>
  <si>
    <t>Pré-agendamento de Visita ou Reunião</t>
  </si>
  <si>
    <t>Copapel</t>
  </si>
  <si>
    <t>Inovação na cadeia logística</t>
  </si>
  <si>
    <t>Treinamento Técnico</t>
  </si>
  <si>
    <t>Pré Reserva - Join.Valle/BMW</t>
  </si>
  <si>
    <t>07/04/2025 a 11/04/2025</t>
  </si>
  <si>
    <t>Conexão entre startups e o setor automotivo</t>
  </si>
  <si>
    <t>Pré-agendamento de Visita Técnica</t>
  </si>
  <si>
    <t>Rôgga</t>
  </si>
  <si>
    <t>Inovação imobiliária</t>
  </si>
  <si>
    <t>DIKLATEX INDUSTRIAL TEXTIL S/A</t>
  </si>
  <si>
    <t>Inovação no setor têxtil e industrial</t>
  </si>
  <si>
    <t>World Creativity Day 2025</t>
  </si>
  <si>
    <t>21/04/2025 a 23/04/2025</t>
  </si>
  <si>
    <t>Gerações Criativas: Transformando Talentos em Impactos</t>
  </si>
  <si>
    <t>ROBERT ADVOCACIA E CONSULTORIA</t>
  </si>
  <si>
    <t>Aspectos jurídicos para startups e empresas inovadoras</t>
  </si>
  <si>
    <t>Palestra jurídica</t>
  </si>
  <si>
    <t>EVENTO SERH / AJORPEME</t>
  </si>
  <si>
    <t>Gestão de pessoas, liderança organizacional,</t>
  </si>
  <si>
    <t>Capacitação Insitucional</t>
  </si>
  <si>
    <t>NISUS</t>
  </si>
  <si>
    <t>Soluções em engenharia, inovação industrial ou consultoria estratégica para empresas tecnológicas.</t>
  </si>
  <si>
    <t>Paviloche</t>
  </si>
  <si>
    <t>Inovação em produtos alimentícios, logística e distribuição no setor de alimentos</t>
  </si>
  <si>
    <t>Reunião Institucional</t>
  </si>
  <si>
    <t>LHW Engenharia</t>
  </si>
  <si>
    <t>Engenharia de ponta, inovação em construção civil</t>
  </si>
  <si>
    <t>Apresentação Corporativa</t>
  </si>
  <si>
    <t xml:space="preserve">KRONA TUBOS E CONEXOES </t>
  </si>
  <si>
    <t>Indústria 4.0, automação, sustentabilidade na produção</t>
  </si>
  <si>
    <t>BONJA TALKS</t>
  </si>
  <si>
    <t>Palestras motivacionais, cultura empreendedora, educação, liderança jovem e inovação social.</t>
  </si>
  <si>
    <t>Ciclo de Palestras</t>
  </si>
  <si>
    <t>Evento IA CEO´s Club e UniSENAI SC</t>
  </si>
  <si>
    <t>Inteligência Artificial aplicada à indústria, estratégias de transformação digital, liderança baseada em dados e futuro do trabalho.</t>
  </si>
  <si>
    <t>INSTITUTO LIDERANCA E LIBERDADE</t>
  </si>
  <si>
    <t>Sistema tributário, desafios institucionais e políticas públicas</t>
  </si>
  <si>
    <t xml:space="preserve"> Palestra: Sistema tributário - desafios da atualidade</t>
  </si>
  <si>
    <t>Fórum Discuta Lean</t>
  </si>
  <si>
    <t>15/04/2025 e 16/04/2025</t>
  </si>
  <si>
    <t>Lean Manufacturing, melhoria contínua, gestão enxuta e aumento de produtividade na indústria e serviços.</t>
  </si>
  <si>
    <t>Fórum Técnico</t>
  </si>
  <si>
    <t>Rogga</t>
  </si>
  <si>
    <t>Inovação em construção civil, sustentabilidade urbana, tecnologias construtivas e desenvolvimento habitacional.</t>
  </si>
  <si>
    <t>Visita Técnica</t>
  </si>
  <si>
    <t>Communitech</t>
  </si>
  <si>
    <t>Tecnologia para cidades inteligentes (smart cities), transformação digital, inovação urbana e empreendedorismo tecnológico.</t>
  </si>
  <si>
    <t>Encontro de Inovação</t>
  </si>
  <si>
    <t>Isabel Gorgen</t>
  </si>
  <si>
    <t>Educação emocional, comunicação empática e desenvolvimento humano.</t>
  </si>
  <si>
    <t xml:space="preserve">Palestra </t>
  </si>
  <si>
    <t xml:space="preserve">Workshop de inovação em segurança do trabalho </t>
  </si>
  <si>
    <t>Novas tecnologias aplicadas à segurança do trabalho, prevenção de acidentes, ergonomia e compliance trabalhista.</t>
  </si>
  <si>
    <t xml:space="preserve">Tecnofibra </t>
  </si>
  <si>
    <t>Inovação em materiais, engenharia de produtos e processos industriais no setor têxtil ou de compósitos.</t>
  </si>
  <si>
    <t>Reunião Técnica</t>
  </si>
  <si>
    <t>Fomento ao empreendedorismo inovador, incubação de startups e desenvolvimento do ecossistema de inovação regional.</t>
  </si>
  <si>
    <t>Palestra Institucional</t>
  </si>
  <si>
    <t xml:space="preserve">Instituto Praticar </t>
  </si>
  <si>
    <t>Desenvolvimento humano e liderança consciente.</t>
  </si>
  <si>
    <t>Escadaria -  Prédio UNI</t>
  </si>
  <si>
    <t>Imersão no ecossistema de inovação, com visitas técnicas a empresas e hubs para promover conexões e aprendizado prático.</t>
  </si>
  <si>
    <t>Inovação para cidades inteligentes (smart cities), transformação digital, mobilidade urbana e tecnologias emergentes</t>
  </si>
  <si>
    <t>Aula de Introdução a Engenharia UniSENAI</t>
  </si>
  <si>
    <t>Exploração das áreas da engenharia, desafios tecnológicos e o papel da indústria 4.0 na formação profissional.</t>
  </si>
  <si>
    <t>Aula Magna</t>
  </si>
  <si>
    <t>Experts - Pré reserva</t>
  </si>
  <si>
    <t>Encontros com especialistas sobre temas-chave como liderança, inteligência artificial, ESG, transformação digital.</t>
  </si>
  <si>
    <t>Pré-agendamento de Workshop</t>
  </si>
  <si>
    <t>Tendências e boas práticas em gestão de pessoas, cultura organizacional, liderança e desenvolvimento humano.</t>
  </si>
  <si>
    <t>Evento de RH</t>
  </si>
  <si>
    <t>Pitch Day SC Angels</t>
  </si>
  <si>
    <t>Como, quando e por que receber investimento</t>
  </si>
  <si>
    <t>Aceleração</t>
  </si>
  <si>
    <t>Aulas de Dança</t>
  </si>
  <si>
    <t>UFSC</t>
  </si>
  <si>
    <t>Esporte, Lazer, Diversão</t>
  </si>
  <si>
    <t>Ágora.Tour - SENAC</t>
  </si>
  <si>
    <t>Aproximação entre educação técnica e mercado, com visitas a empresas e hubs de tecnologia.</t>
  </si>
  <si>
    <t>ÁGORA TOUR PRO WAY</t>
  </si>
  <si>
    <t>Integração entre ensino profissionalizante e ambientes de inovação para formação tecnológica aplicada.</t>
  </si>
  <si>
    <t>Link Lab: I.A. na Indústria</t>
  </si>
  <si>
    <t>IA na Indústria</t>
  </si>
  <si>
    <t>Palestras</t>
  </si>
  <si>
    <t>Cerimônia: Assinatura do Protocolo de Intenções do Programa “Cidades-Irmãs” entre Joinville e Lucca</t>
  </si>
  <si>
    <t>Assinatura do Protocolo de Intenções do Programa “Cidades-Irmãs” entre Joinville e Lucca.</t>
  </si>
  <si>
    <t>Cerimõnia</t>
  </si>
  <si>
    <t>Fritz Muller - Imersão em IA para Líderes</t>
  </si>
  <si>
    <t>06/05/2025 e 07/05/2025</t>
  </si>
  <si>
    <t>Inteligência Artificial aplicada à liderança e inovação empresarial</t>
  </si>
  <si>
    <t>Capacitação Executiva</t>
  </si>
  <si>
    <t>Avanço na produção de energia Offshore.. Desafios e inocações</t>
  </si>
  <si>
    <t>Inovação tecnológica e superação de desafios na produção de energia offshore</t>
  </si>
  <si>
    <t>Conferência</t>
  </si>
  <si>
    <t xml:space="preserve">Innovation Kickoff </t>
  </si>
  <si>
    <t>Inovação Aberrta, Tecnologia e empreendedorismo</t>
  </si>
  <si>
    <t>Inovação Aberta</t>
  </si>
  <si>
    <t>NISE Talks - Núcleo ACIJ</t>
  </si>
  <si>
    <t>Inovação, tecnologia e inspiração para desenvolvimento pessoal e profissional</t>
  </si>
  <si>
    <t>Inovação, empreendedorismo, desenvolvimento pessoal e profissional, histórias inspiradoras.</t>
  </si>
  <si>
    <t>Instituto Praticar - Conexão Delas</t>
  </si>
  <si>
    <t>Empoderamento feminino, liderança feminina, networking e desenvolvimento de mulheres.</t>
  </si>
  <si>
    <t xml:space="preserve">KOSMOS </t>
  </si>
  <si>
    <t>Tecnologia, inovação disruptiva, transformação digital, futuro dos negócios.</t>
  </si>
  <si>
    <t>Codecon</t>
  </si>
  <si>
    <t>17/05/2025 e 18/05/2025</t>
  </si>
  <si>
    <t>Desenvolvimento de software, programação, inovação tecnológica e transformação digital.</t>
  </si>
  <si>
    <t>41º Encontro Regional Sincodiv/Fenabrave-SC</t>
  </si>
  <si>
    <t>Mercado automotivo, tendências, inovação e comércio de veículos.</t>
  </si>
  <si>
    <t>Congresso</t>
  </si>
  <si>
    <t>Fcking awsm summit’25 - Ousar Consultoria</t>
  </si>
  <si>
    <t>Empreendedorismo, inovação, mindset de crescimento e estratégias de negócios.</t>
  </si>
  <si>
    <t>Summit</t>
  </si>
  <si>
    <t>Trilha de Liderança 01 - Fundamentos e Estilos</t>
  </si>
  <si>
    <t>PLMPRO</t>
  </si>
  <si>
    <t>Gestão de ciclo de vida de produtos, inovação em engenharia e processos industriais.</t>
  </si>
  <si>
    <t>Seminário</t>
  </si>
  <si>
    <t>KOSMOS</t>
  </si>
  <si>
    <t>CONDOMINIO PERINI BUSSINESS PARK</t>
  </si>
  <si>
    <t>Networking empresarial, inovação corporativa, desenvolvimento de negócios.</t>
  </si>
  <si>
    <t>Evento Corporativo</t>
  </si>
  <si>
    <t>JOINVALLE</t>
  </si>
  <si>
    <t>Empreendedorismo local, inovação regional, desenvolvimento econômico.</t>
  </si>
  <si>
    <t>Evento do Ecossistema</t>
  </si>
  <si>
    <t>Planejamento Estratégico Bonja</t>
  </si>
  <si>
    <t>16/05/2025 e 17/05/2025</t>
  </si>
  <si>
    <t>Evento Institucional</t>
  </si>
  <si>
    <t>Vanessa Lima  - UFSC</t>
  </si>
  <si>
    <t>Pesquisa acadêmica, inovação tecnológica, desenvolvimento científico.</t>
  </si>
  <si>
    <t>Palestra institucional</t>
  </si>
  <si>
    <t>Melissa Nunes - Fundação Softville</t>
  </si>
  <si>
    <t>Tecnologia, inovação, apoio a startups e desenvolvimento regional.</t>
  </si>
  <si>
    <t>SOFTVILLE</t>
  </si>
  <si>
    <t>Tecnologia da informação, startups, inovação e desenvolvimento de software.</t>
  </si>
  <si>
    <t>Evento de Inovação</t>
  </si>
  <si>
    <t>Programa Startup SC</t>
  </si>
  <si>
    <t>Apoio a startups, empreendedorismo, inovação e desenvolvimento de negócios.</t>
  </si>
  <si>
    <t>Programa de empreendedorismo</t>
  </si>
  <si>
    <t>Ágora Tour</t>
  </si>
  <si>
    <t>Networking, visita técnica, inovação e troca de conhecimento.</t>
  </si>
  <si>
    <t>Santa Fé Run</t>
  </si>
  <si>
    <t>03/05/2025 e 04/05/2025</t>
  </si>
  <si>
    <t>Evento esportivo, saúde, bem-estar e integração comunitária.</t>
  </si>
  <si>
    <t>Corrida de Rua</t>
  </si>
  <si>
    <t>Conhecimento especializado, tendências de mercado, inovação e educação.</t>
  </si>
  <si>
    <t xml:space="preserve">Ágora Experts </t>
  </si>
  <si>
    <t>08/05/2025 a 10/05/2025</t>
  </si>
  <si>
    <t>Compartilhamento de conhecimento especializado e inovação aplicada</t>
  </si>
  <si>
    <t>ÁGORA TOUR</t>
  </si>
  <si>
    <t>Visita técnica</t>
  </si>
  <si>
    <t>Finep Mover Empresarial</t>
  </si>
  <si>
    <t>Financiamento, inovação empresarial, empreendedorismo e desenvolvimento tecnológico.</t>
  </si>
  <si>
    <t>ARCODE</t>
  </si>
  <si>
    <t>Tecnologia, realidade aumentada, inovação digital.</t>
  </si>
  <si>
    <t>Evento de tecnologia</t>
  </si>
  <si>
    <t>Ágora Tour - SEBRAE SC</t>
  </si>
  <si>
    <t>Empreendedorismo, inovação, desenvolvimento de pequenos negócios.</t>
  </si>
  <si>
    <t>Prototipagem, fabricação digital, inovação tecnológica e maker culture.</t>
  </si>
  <si>
    <t>Oficina</t>
  </si>
  <si>
    <t>ÁGORA JOGOS</t>
  </si>
  <si>
    <t>Desenvolvimento de jogos, tecnologia e inovação digital.</t>
  </si>
  <si>
    <t>Game Jam</t>
  </si>
  <si>
    <t>Trilha de Liderança 02 - Motivação Humana e o Pacto da Liderança</t>
  </si>
  <si>
    <t>Hackathon - SAE BRASIL</t>
  </si>
  <si>
    <t>Competição de inovação, desenvolvimento tecnológico, engenharia automotiva e soluções criativas.</t>
  </si>
  <si>
    <t>Noite de Poker</t>
  </si>
  <si>
    <t>Jogos, Diversão</t>
  </si>
  <si>
    <t>Encontro</t>
  </si>
  <si>
    <t>Estratégias de Marketing para Projetos de Extensão</t>
  </si>
  <si>
    <t>Marketing Digital, Canva, Design</t>
  </si>
  <si>
    <t>Como usar GitHub</t>
  </si>
  <si>
    <t>Desenvolvimento de Software, Programação</t>
  </si>
  <si>
    <t>WarmUp - LeRobot</t>
  </si>
  <si>
    <t>02/06/2025 e 11/06/2025</t>
  </si>
  <si>
    <t>Introdução à plataforma LeRobot; preparação para o Hackathon</t>
  </si>
  <si>
    <t>Workshop preparatório</t>
  </si>
  <si>
    <t>LeRobot Arm Hackathon</t>
  </si>
  <si>
    <t>13-15/06/2025</t>
  </si>
  <si>
    <t>Hackathon de robótica + IA (programação de braços robóticos)</t>
  </si>
  <si>
    <t>Hackathon / competição</t>
  </si>
  <si>
    <t>ALLFLEX SULAMERICA - Suelen Hernande</t>
  </si>
  <si>
    <t>Inovação em pecuária sustentável, tecnologia aplicada ao agronegócio e práticas de bem-estar animal.</t>
  </si>
  <si>
    <t>TM4 INTELIGENCIA E COMUNICACAO DE MODA</t>
  </si>
  <si>
    <t>Moda digital, tecnologia têxtil, tendências de comunicação visual e transformação no setor fashion-tech.</t>
  </si>
  <si>
    <t>Evento de Moda &amp; Tecnologia</t>
  </si>
  <si>
    <t>Fortalecimento do ecossistema inovador local, cultura startup e empreendedorismo social.</t>
  </si>
  <si>
    <t>Desenvolvimento de startups catarinenses com foco em validação de ideias, aceleração, acesso a mercado e conexão com investidores.</t>
  </si>
  <si>
    <t>Programa de Capacitação</t>
  </si>
  <si>
    <t>Pré reserva - OFICIAL DUDA SOARES</t>
  </si>
  <si>
    <t>Empreendedorismo feminino, moda autoral e posicionamento de marca no mercado digital.</t>
  </si>
  <si>
    <t>Apresentação empresarial</t>
  </si>
  <si>
    <t>OFICIALISSIMA BEAUTY LTDA</t>
  </si>
  <si>
    <t>Inovação no setor de beleza e estética, marketing digital para cosméticos e empoderamento feminino.</t>
  </si>
  <si>
    <t>Pré reserva - Krona</t>
  </si>
  <si>
    <t>Conexão com startups, inovação aberta e estratégias de modernização na indústria de materiais hidráulicos.</t>
  </si>
  <si>
    <t>Cultura empreendedora, liderança, inovação social e protagonismo local com foco em jovens e comunidade.</t>
  </si>
  <si>
    <t>Pré - Reserva - Krona</t>
  </si>
  <si>
    <t>Visita técnica e experiência imersiva em empresas de inovação com foco em moda, tecnologia e cultura urbana.</t>
  </si>
  <si>
    <t>Trilha de Liderança 03 - Alta Performance e Delegação</t>
  </si>
  <si>
    <t>Professor modesto - workshop PPGESE</t>
  </si>
  <si>
    <t>Formação de lideranças e gestores com base em pesquisa aplicada, sustentabilidade e estratégias empresariais no contexto do PPGESE (Programa de Pós-Graduação em Engenharia de Sistemas e Sustentabilidade).</t>
  </si>
  <si>
    <t>Formação e aceleração de startups, validação de modelo de negócios, conexão com o ecossistema de inovação e desenvolvimento de empreendedores catarinenses.</t>
  </si>
  <si>
    <t>Inovação e networking colaborativo</t>
  </si>
  <si>
    <t>Encontro de Empreendedores</t>
  </si>
  <si>
    <t>Empreendedorismo, inovação para micro e pequenas empresas, transformação digital e sustentabilidade de negócios.</t>
  </si>
  <si>
    <t>SindPeças</t>
  </si>
  <si>
    <t>Inovação e competitividade na indústria de autopeças, tendências tecnológicas e transformação digital no setor automotivo.</t>
  </si>
  <si>
    <t xml:space="preserve">Fórum </t>
  </si>
  <si>
    <t>Desenvolvimento do ecossistema de inovação regional, empreendedorismo de impacto e apoio a startups e projetos sociais.</t>
  </si>
  <si>
    <t>Evento de Inovação Social</t>
  </si>
  <si>
    <t>Summit de Inteligência Artificial</t>
  </si>
  <si>
    <t>05/06/2025 e 06/06/2025</t>
  </si>
  <si>
    <t>Inteligência Artificial e tecnologias disruptivas</t>
  </si>
  <si>
    <t>LIGA TALKS</t>
  </si>
  <si>
    <t>Protagonismo jovem, educação empreendedora, liderança e impacto social por meio da fala de jovens líderes e especialistas.</t>
  </si>
  <si>
    <t>TOUR - TAKEO</t>
  </si>
  <si>
    <t>Visita técnica e troca de experiências com foco em inovação, moda e transformação digital nas indústrias criativas.</t>
  </si>
  <si>
    <t>Visitas Técnicas</t>
  </si>
  <si>
    <t>FabLab</t>
  </si>
  <si>
    <t>Cultura maker, fabricação digital, prototipagem, inclusão tecnológica e inovação colaborativa em ambientes de laboratório aberto</t>
  </si>
  <si>
    <t xml:space="preserve">KOSMOS - JOSE </t>
  </si>
  <si>
    <t>Futurismo, tecnologias emergentes, disrupção, ciência e inovação com foco em grandes transformações globais.</t>
  </si>
  <si>
    <t xml:space="preserve">Evento Cultural </t>
  </si>
  <si>
    <t>LARISSA AYUMI MIYAKE DA SILVA</t>
  </si>
  <si>
    <t>Design, arte, moda e inovação</t>
  </si>
  <si>
    <t xml:space="preserve">FAB LAB </t>
  </si>
  <si>
    <t>13/06/2025 a 15/06/2025</t>
  </si>
  <si>
    <t>Inovação aberta e cultura maker</t>
  </si>
  <si>
    <t>Workshop Prático</t>
  </si>
  <si>
    <t>Pré reserva - Warmup programa NaSCer</t>
  </si>
  <si>
    <t>Empreendedorismo inovador em estágios iniciais, validação de ideias e preparação para incubação tecnológica.</t>
  </si>
  <si>
    <t>Workshop Introdutório</t>
  </si>
  <si>
    <t>Conexão com o ecossistema de inovação local, visitas técnicas e experiências em ambientes de inovação e tecnologia.</t>
  </si>
  <si>
    <t>25/06/2025 a 27/06/2025</t>
  </si>
  <si>
    <t>Iniciativas acadêmicas e de extensão voltadas à inovação, empreendedorismo e formação de profissionais para o futuro.</t>
  </si>
  <si>
    <t xml:space="preserve">Palestra Acadêmica </t>
  </si>
  <si>
    <t>LIGÁ ÁGORA - NOITE DOS JOGOS</t>
  </si>
  <si>
    <t>Dinâmica de integração e criatividade por meio de jogos de tabuleiro e desafios lúdicos voltados à inovação e colaboração.</t>
  </si>
  <si>
    <t>Evento Social em Grupo</t>
  </si>
  <si>
    <t>Ágora Master</t>
  </si>
  <si>
    <t xml:space="preserve">Mindfulness: Atenção Plena para Liderar com Consciência
</t>
  </si>
  <si>
    <t xml:space="preserve">Ágora Tour - Projeto Resgate </t>
  </si>
  <si>
    <t>Iniciativas de impacto social, empreendedorismo comunitário e reintegração por meio da inovação e da educação.</t>
  </si>
  <si>
    <t>COMECE PELO RESULTADO</t>
  </si>
  <si>
    <t>Planejamento estratégico pessoal e profissional com foco em metas, produtividade e crescimento através de ações práticas.</t>
  </si>
  <si>
    <t>Casamento Leonardo Colin</t>
  </si>
  <si>
    <t>Evento Social</t>
  </si>
  <si>
    <t>Casamento</t>
  </si>
  <si>
    <t>Corporativo Marketing</t>
  </si>
  <si>
    <t>Aceleração de startups catarinenses</t>
  </si>
  <si>
    <t xml:space="preserve">Workshop Expo - Tendências do Mercado Internacional </t>
  </si>
  <si>
    <t>Tendências globais, internacionalização de negócios e adaptação ao mercado global.</t>
  </si>
  <si>
    <t>16/07/2025 e 17/07/2025</t>
  </si>
  <si>
    <t>Inovação em construção civil, sustentabilidade urbana ou soluções tecnológicas para habitação e infraestrutura.</t>
  </si>
  <si>
    <t xml:space="preserve">Conecta Netcred </t>
  </si>
  <si>
    <t>Inovação em serviços financeiros, fintechs ou crédito digital.</t>
  </si>
  <si>
    <t>Alinhamento Societário Nanobiocell</t>
  </si>
  <si>
    <t>Alinhar expectativas entre os sócios quanto à visão de futuro da empresa</t>
  </si>
  <si>
    <t>Reunião corporativa</t>
  </si>
  <si>
    <t>SSAB SWEDISH STEEL COMERCIO DE ACO</t>
  </si>
  <si>
    <t>Inovação no setor siderúrgico, soluções industriais e sustentabilidade na produção de aço.</t>
  </si>
  <si>
    <t>Palestra Técnica</t>
  </si>
  <si>
    <t>EVENTO PIXIDA - FABIANO</t>
  </si>
  <si>
    <t>Desenvolvimento de soluções digitais em pontos de venda ou ecommerce.</t>
  </si>
  <si>
    <t>Roadshow Indústria 360º</t>
  </si>
  <si>
    <t>Conferência itinerante de indústria 4.0, com foco em Closed Loop Manufacturing e digitalização industrial</t>
  </si>
  <si>
    <t>PALESTRA CEBRACE</t>
  </si>
  <si>
    <t>Inovação prática no setor de vidros ou construção, aplicada ao modelo de negócio da Cebrace.</t>
  </si>
  <si>
    <t>EVENTO AI JOURNEY JOINVILLE + INAUGURAÇÃO FILIAL - Ana Rafaela Machado</t>
  </si>
  <si>
    <t>Evento híbrido de jornada tecnológica (IA) com foco em transformação digital e expansão institucional.</t>
  </si>
  <si>
    <t>SESCON/SC</t>
  </si>
  <si>
    <t>Formação e capacitação em compliance, contabilidade, gestão empresarial ou networking para empresas.</t>
  </si>
  <si>
    <t>Human Guide - SEBRAE SC</t>
  </si>
  <si>
    <t>01/07/2025 a 03/07/2025</t>
  </si>
  <si>
    <t>Desenvolvimento humano, autoconhecimento e liderança empática</t>
  </si>
  <si>
    <t>Internacionalização e Competitividade</t>
  </si>
  <si>
    <t>AULA JOIN.CUBO DA SECRETARIA DE DESENVOLVIMENTO ECONÔMICO E INOVAÇÃO</t>
  </si>
  <si>
    <t>Empreendedorismo e Políticas Públicas de Inovação</t>
  </si>
  <si>
    <t>Inauguração Lab Foguetes</t>
  </si>
  <si>
    <t>Apreentação do Lab de Foguetes</t>
  </si>
  <si>
    <t>Inauguração</t>
  </si>
  <si>
    <t>UNIVILLE</t>
  </si>
  <si>
    <t>Empreendedorismo acadêmico, extensão universitária e fortalecimento das relações entre universidade e comunidade.</t>
  </si>
  <si>
    <t>MODESTO e ERIC</t>
  </si>
  <si>
    <t>Empreendedorismo e Mentoria</t>
  </si>
  <si>
    <t>XCELERATOR MOLDMAKER</t>
  </si>
  <si>
    <t>Inovação Industrial e Prototipagem</t>
  </si>
  <si>
    <t>Apresentação Técnica</t>
  </si>
  <si>
    <t>Conexão Empreendedora e Desenvolvimento de Ecossistema</t>
  </si>
  <si>
    <t>Visita técnica a ecossistema de inovação — aprendizado com prática e conexão institucional.</t>
  </si>
  <si>
    <t>Crie um Jogo em 2D - Godot Engine</t>
  </si>
  <si>
    <t>Programação de jogos, Game design</t>
  </si>
  <si>
    <t>Braço Robótico</t>
  </si>
  <si>
    <t>Modelagem 3D, Programação, Eletrônica, Automação</t>
  </si>
  <si>
    <t>Ágora.Tour - UNIFEBE</t>
  </si>
  <si>
    <t>Ação de Tracionamento Ágora Connect/UFSC</t>
  </si>
  <si>
    <t>Conectando pesquisa acadêmica a empresas.</t>
  </si>
  <si>
    <t>Estrutura 3D de Drone</t>
  </si>
  <si>
    <t>Modelagem 3D, Impressão 3D, Dronemodelismo</t>
  </si>
  <si>
    <t>Pré reserva - Corrida Live</t>
  </si>
  <si>
    <t>Engajamento comunitário esportivo para saúde e bem-estar</t>
  </si>
  <si>
    <t>Esportivo / Promocional</t>
  </si>
  <si>
    <t>Pré Planejamento Nanobiocell</t>
  </si>
  <si>
    <t>Workshop de Pré-Planejamento Estratégico Interno</t>
  </si>
  <si>
    <t>Workshop corporativo</t>
  </si>
  <si>
    <t>Workshop Jornada Becomex</t>
  </si>
  <si>
    <t>06/08/2025 e 07/08/2025</t>
  </si>
  <si>
    <t>Workshop de Transformação e Alinhamento Estratégico</t>
  </si>
  <si>
    <t>Hora do Conhecer - Treinamento Copapel</t>
  </si>
  <si>
    <t>Ágora.Tour - Positivo</t>
  </si>
  <si>
    <t>Inovação / Educação / Ecossistema de inovação</t>
  </si>
  <si>
    <t>Corporativo / Visita técnica</t>
  </si>
  <si>
    <t>Planejamento Estratégico Chá de Revelação</t>
  </si>
  <si>
    <t>Evento social/familiar</t>
  </si>
  <si>
    <t xml:space="preserve">Reunião </t>
  </si>
  <si>
    <t>Ágora - Encontro Mensal</t>
  </si>
  <si>
    <t>Ecossistema de inovação / Tecnologia</t>
  </si>
  <si>
    <t>Corporativo / Inovação / Institucional</t>
  </si>
  <si>
    <t>Maricota Gastronomia</t>
  </si>
  <si>
    <t>Auditório do Ágora Tech Park, Rua Dona Francisca, 8300 (Perini Business Park) – Joinville-SC</t>
  </si>
  <si>
    <t>O Mercado de Trabalho, a Formação Universitária e as Estratégias de Inovação para o Futuro da Engenharia</t>
  </si>
  <si>
    <t>Liga Ágora - Encontro Mensal</t>
  </si>
  <si>
    <t>Comunidade de inovação / Networking / Planejamento</t>
  </si>
  <si>
    <t>Corporativo / Reunião estratégica</t>
  </si>
  <si>
    <t>ETECH JR</t>
  </si>
  <si>
    <t>Relacionado a serviços de engenharia</t>
  </si>
  <si>
    <t>Palestra de engenharia</t>
  </si>
  <si>
    <t>Eleva Incubadora em Joinville: Lançamento Oficial - Semente Negócios</t>
  </si>
  <si>
    <t>Empreendedorismo, inovação de impacto, sustentabilidade</t>
  </si>
  <si>
    <t>Evento de lançamento</t>
  </si>
  <si>
    <t>ETECHN FEIRA</t>
  </si>
  <si>
    <t>Feira</t>
  </si>
  <si>
    <t>Pré reserva - Corrida Clamed</t>
  </si>
  <si>
    <t>Esportivo</t>
  </si>
  <si>
    <t>Evento esportivo</t>
  </si>
  <si>
    <t>Planejamento Estratégico CINO Grupo Gestores de Inovação</t>
  </si>
  <si>
    <t>09/09/2025 e 20/09/2025</t>
  </si>
  <si>
    <t>TOUR TAKEO</t>
  </si>
  <si>
    <t>Provavelmente tour de empresa</t>
  </si>
  <si>
    <t>Liga Ágora &amp; Eleva Incubadora</t>
  </si>
  <si>
    <t>Conexão, articulação entre ecossistema, incubação de impacto</t>
  </si>
  <si>
    <t>Planejamento estratégio Projuris</t>
  </si>
  <si>
    <t>02/09/2025 e 03/09/2025</t>
  </si>
  <si>
    <t>Sala de Metodologia Completa e Lab Criativo - Prédio UNI</t>
  </si>
  <si>
    <t>Estratégia organizacional para empresas jurídicas, planejamento estratégico de uso de tecnologia no direito, possíveis modelos de crescimento / inovação jurídica.</t>
  </si>
  <si>
    <t>Workshop / seminário / painel corporativo</t>
  </si>
  <si>
    <t xml:space="preserve">Palestra IA para Executivos </t>
  </si>
  <si>
    <t>Palestra empresarial</t>
  </si>
  <si>
    <t>Programa Nascer</t>
  </si>
  <si>
    <t>Formação de novos empreendedores, startups, apoio inicial (mentoria, capacitação técnica/comercial), desenvolvimento de ideias ou negócios emergentes.</t>
  </si>
  <si>
    <t>Programa de empreendedorismo / capacitação</t>
  </si>
  <si>
    <t>Infraestrutura, sustentabilidade, convivência empresarial, parcerias dentro do ecossistema do parque empresarial, inovação aplicada ao ambiente físico ou gestão empresarial.</t>
  </si>
  <si>
    <t>Evento corporativo ou comunitário interno / networking entre empresas do parque</t>
  </si>
  <si>
    <t>DWJ  Joinville</t>
  </si>
  <si>
    <t>Provavelmente voltado ao pessoal ou profissional, crescimento de carreira ou liderança (se são pessoas de destaque), inovações locais, cases de sucesso pessoais ou profissionais.</t>
  </si>
  <si>
    <t>Debora Veneziano Paes</t>
  </si>
  <si>
    <t>Apoio a startups, visibilidade de soluções tecnológicas, investimento, parcerias com empresas, disseminação de inovação, tecnologia emergente.</t>
  </si>
  <si>
    <t>Incubação, aceleração, feira de startups / pitch / networking</t>
  </si>
  <si>
    <t>Empresa industrial/metais sanitários</t>
  </si>
  <si>
    <t>Cofound Lab Criativo</t>
  </si>
  <si>
    <t>Laboratório criativo para cofundadores, inovação, ideação, design thinking</t>
  </si>
  <si>
    <t>DWJ  Joinville - Rafael</t>
  </si>
  <si>
    <t>Pode ser reunião, palestra ou workshop com “DWJ” (iniciativa local) e liderado por “Rafael” como palestrante</t>
  </si>
  <si>
    <t>Murilo Melocra</t>
  </si>
  <si>
    <t>Pode ser evento ou palestra com essa pessoa, cujos temas poderiam ser motivação</t>
  </si>
  <si>
    <t>LIEN PILATES - Alessandra Lopes</t>
  </si>
  <si>
    <t>Saúde / bem-estar / Pilates</t>
  </si>
  <si>
    <t xml:space="preserve">TERMOTECNICA </t>
  </si>
  <si>
    <t>16/09/2025 e 17/09/2025</t>
  </si>
  <si>
    <t>Tecnologia e processos térmicos</t>
  </si>
  <si>
    <t>Evento corporativo</t>
  </si>
  <si>
    <t>Empreendedorismo inovador e a pré‑incubação de ideias</t>
  </si>
  <si>
    <t>Sicredi - Sulamita</t>
  </si>
  <si>
    <t>Sala de Metodologia 01 e Rooftop Completo  - Prédio UNI</t>
  </si>
  <si>
    <t>Evento ligado a cooperativismo, finanças, crédito, educação financeira</t>
  </si>
  <si>
    <t xml:space="preserve">StackX </t>
  </si>
  <si>
    <t>Tecnologia, “stack” de software, inovação digital, desenvolvimento</t>
  </si>
  <si>
    <t>20/09/2025 e 21/09/2025</t>
  </si>
  <si>
    <t>Rooftop Completo e Sala de Treinamento-  Prédio UNI</t>
  </si>
  <si>
    <t>Programa de pré‑incubação de ideias inovadoras</t>
  </si>
  <si>
    <t>ONION RINGS LTDA</t>
  </si>
  <si>
    <t>Se for evento de empresa</t>
  </si>
  <si>
    <t>Prefeitura Municipal de Joinville</t>
  </si>
  <si>
    <t>Pode tratar de políticas públicas, inovação urbana, tecnologia para cidades, governança</t>
  </si>
  <si>
    <t>Pollux</t>
  </si>
  <si>
    <t>Tecnologia e inovação</t>
  </si>
  <si>
    <t>Sessões de negócios no condomínio</t>
  </si>
  <si>
    <t>Feira Brasileira de Iniciação Científica - FEBIC</t>
  </si>
  <si>
    <t>08/09/2025 a 12/09/2025</t>
  </si>
  <si>
    <t>Sala de treinamento -  Prédio HUB e Escadaria - Prédio UNI</t>
  </si>
  <si>
    <t>Iniciação científica, pesquisa e inovação jovem</t>
  </si>
  <si>
    <t>Criar Ação - KRONA</t>
  </si>
  <si>
    <t>Desenvolvimento pessoal e profissional dos colaboradores</t>
  </si>
  <si>
    <t>Palestras ou workshops conduzidos por essa pessoa; pode ser tema motivacional</t>
  </si>
  <si>
    <t>Ousar Empresarial Cursos Ltda</t>
  </si>
  <si>
    <t>Autoconhecimento</t>
  </si>
  <si>
    <t>Curso de Eneagrama</t>
  </si>
  <si>
    <t>Whirlpool</t>
  </si>
  <si>
    <t>Inovação e eficiência industrial</t>
  </si>
  <si>
    <t xml:space="preserve">Whirlpool </t>
  </si>
  <si>
    <t>Capacitação de startups catarinenses em estágio inicial ou de validação</t>
  </si>
  <si>
    <t>COMPASS SOLUCOES EM TECNOLOGIA LTDA</t>
  </si>
  <si>
    <t>Transformação digital e excelência operacional por meio da inteligência artificial (IA)</t>
  </si>
  <si>
    <t>Mentores Liga Ágora</t>
  </si>
  <si>
    <t>Mentoria e desenvolvimento de startups no ecossistema de inovação de Joinvill</t>
  </si>
  <si>
    <t>Workshop Autoconhecimento</t>
  </si>
  <si>
    <t>Rooftop Principal 01 - Prédio UNI</t>
  </si>
  <si>
    <t>Palestra de tecnologia e inovação</t>
  </si>
  <si>
    <t>FIESC</t>
  </si>
  <si>
    <t>Palestra de Inovação industrial e futuro do trabalho</t>
  </si>
  <si>
    <t xml:space="preserve">PRÉ RESERVA  PREFEITURA </t>
  </si>
  <si>
    <t>Reunião sobre gestão pública</t>
  </si>
  <si>
    <t>Reunão</t>
  </si>
  <si>
    <t>Daniela Pinheiro</t>
  </si>
  <si>
    <t>Evento pessoal</t>
  </si>
  <si>
    <t>Palestra corporativo</t>
  </si>
  <si>
    <t>CASAMENTO DANIELA</t>
  </si>
  <si>
    <t>Cerimônia de casamento</t>
  </si>
  <si>
    <t>Reunião de Colegiado</t>
  </si>
  <si>
    <t>Cooperativa de Crédito do Norte Catarinense – Acredicoop</t>
  </si>
  <si>
    <t>Financeiro/cooperativo, crédito e economia local.</t>
  </si>
  <si>
    <t>Multiseg</t>
  </si>
  <si>
    <t>Rooftop Completo -  Prédio UNI</t>
  </si>
  <si>
    <t>Tecnologia aplicada à segurança</t>
  </si>
  <si>
    <t>17 e 18/09 2025</t>
  </si>
  <si>
    <t>Tecnologia e Inovação</t>
  </si>
  <si>
    <t>PERVILLE ENGENHARIA E EMPREENDIMENTOS LTDA.</t>
  </si>
  <si>
    <t>Rooftop 02 - Prédio UNI</t>
  </si>
  <si>
    <t>Engenharia civil</t>
  </si>
  <si>
    <t>AXE TECNOLOGIA</t>
  </si>
  <si>
    <t>Tecnologia, soluções digitais, inovação tecnológica</t>
  </si>
  <si>
    <t>ALLFLEX SULAMERICA</t>
  </si>
  <si>
    <t xml:space="preserve">Workshop de Vendas Maricota Gastronomia </t>
  </si>
  <si>
    <t>23/09/2025 e 25/09/2025</t>
  </si>
  <si>
    <t>Pré reserva SST Advogados</t>
  </si>
  <si>
    <t>Liberdade de expressão e os impactos transformadores da inteligência artificial (IA)</t>
  </si>
  <si>
    <t>26/09/2025 a 11/10/2025</t>
  </si>
  <si>
    <t>Rooftop Completo e Escadaria -  Prédio UNI</t>
  </si>
  <si>
    <t>Empreendedorismo &amp; inovação prática</t>
  </si>
  <si>
    <t xml:space="preserve">FESTIVAL DE AVES DE JLLE  </t>
  </si>
  <si>
    <t>01/10/2025 e 05/10/2025</t>
  </si>
  <si>
    <t>Observação de aves (birdwatching)</t>
  </si>
  <si>
    <t>Festival</t>
  </si>
  <si>
    <t>Sala de Metodologia Completa -  Prédio UNI</t>
  </si>
  <si>
    <t>Transformar ideias inovadoras em negócios</t>
  </si>
  <si>
    <t>Programa de capacitação</t>
  </si>
  <si>
    <t>Whirpool</t>
  </si>
  <si>
    <t>Sustentabilidade / ESG</t>
  </si>
  <si>
    <t>01/10/2025 e 02/10/2025</t>
  </si>
  <si>
    <t>Apresentação do ecossistema</t>
  </si>
  <si>
    <t>Liga Day (Liga Ágora)</t>
  </si>
  <si>
    <t>Conectar estudantes/universidades ao ecossistema de inovação</t>
  </si>
  <si>
    <t>JEDI - Palestra Ideação</t>
  </si>
  <si>
    <t xml:space="preserve">Palestra Ideação </t>
  </si>
  <si>
    <t>ACISSC</t>
  </si>
  <si>
    <t>Gestão em saúde</t>
  </si>
  <si>
    <t>Conexão internacional</t>
  </si>
  <si>
    <t>Rooftop Completo - Prédio UNI</t>
  </si>
  <si>
    <t>Conexão entre instituições</t>
  </si>
  <si>
    <t>Sala de treinamento - Prédio UNI</t>
  </si>
  <si>
    <t>Gestão Empresarial / Inovação em Serviços</t>
  </si>
  <si>
    <t>Evento empresarial</t>
  </si>
  <si>
    <t>J. MEURER</t>
  </si>
  <si>
    <t>Indústria / Tecnologia</t>
  </si>
  <si>
    <t>Empresarial / Corporativo</t>
  </si>
  <si>
    <t>Associativismo / Desenvolvimento Regional</t>
  </si>
  <si>
    <t>Institucional / Associativo</t>
  </si>
  <si>
    <t>Evento Ágora - Fab Lab</t>
  </si>
  <si>
    <t>Inovação / Prototipagem / Indústria 4.0</t>
  </si>
  <si>
    <t>Inovação / Tecnologia</t>
  </si>
  <si>
    <t>FTM GLOBAL SOLUTIONS</t>
  </si>
  <si>
    <t>Internacionalização / Negócios Globais</t>
  </si>
  <si>
    <t>Empresarial / Internacionalização</t>
  </si>
  <si>
    <t>Rescanm</t>
  </si>
  <si>
    <t>Square e Auditório / Prédio HUB</t>
  </si>
  <si>
    <t>Indústria / Automação</t>
  </si>
  <si>
    <t>Empresarial / Indústria</t>
  </si>
  <si>
    <t>TONK COMERCIO LTDA</t>
  </si>
  <si>
    <t>Comércio / Gestão de Negócios</t>
  </si>
  <si>
    <t>Empresarial / Comércio</t>
  </si>
  <si>
    <t>Perfil Térmico</t>
  </si>
  <si>
    <t>Engenharia / Sustentabilidade</t>
  </si>
  <si>
    <t>Empresarial / Engenharia</t>
  </si>
  <si>
    <t>Sr. Cacao</t>
  </si>
  <si>
    <t>Square / Prédio HUB</t>
  </si>
  <si>
    <t>Empreendedorismo / Alimentos Gourmet</t>
  </si>
  <si>
    <t>Empresarial / Alimentos</t>
  </si>
  <si>
    <t>Wellington Teixeira Pereira</t>
  </si>
  <si>
    <t>Liderança / Desenvolvimento Profissional</t>
  </si>
  <si>
    <t>Profissional / Palestrante ou Consultor</t>
  </si>
  <si>
    <t>Inovação / Startups / Empreendedorismo</t>
  </si>
  <si>
    <t>Inovação / Empreendedorismo / Governo</t>
  </si>
  <si>
    <t>Ana Luiza (avell)</t>
  </si>
  <si>
    <t>Tecnologia / Computadores</t>
  </si>
  <si>
    <t>Empresarial / Tecnologia</t>
  </si>
  <si>
    <t>BLUE HUBNER INCORPORACAO DE IMOVEIS SPE LTDA</t>
  </si>
  <si>
    <t>Construção / Sustentabilidade</t>
  </si>
  <si>
    <t>Empresarial / Construção Civil</t>
  </si>
  <si>
    <t>SST Advogados</t>
  </si>
  <si>
    <t>Jurídico / Empresarial / Tributário</t>
  </si>
  <si>
    <t>Jurídico</t>
  </si>
  <si>
    <t>Nuvabo &amp;  Liga</t>
  </si>
  <si>
    <t>Auditório e Sala de treinamento - Prédio HUB</t>
  </si>
  <si>
    <t>Programa de Aceleração</t>
  </si>
  <si>
    <t>SoftExpert Summit Nacional</t>
  </si>
  <si>
    <t>13/10/2025 a 16/10/2025</t>
  </si>
  <si>
    <t>Auditório e Sala de Metodologia Completa - Prédio UNI - Prédio HUB</t>
  </si>
  <si>
    <t>Transformação Digital / Gestão Corporativa</t>
  </si>
  <si>
    <t>Tecnologia / Evento Corporativo Nacional</t>
  </si>
  <si>
    <t>Docol</t>
  </si>
  <si>
    <t>Rooftop 02 e Sala de Metodologia 02 (mini auditório) - Prédio UNI</t>
  </si>
  <si>
    <t>Indústria / Design / Exportação</t>
  </si>
  <si>
    <t>Público / Institucional</t>
  </si>
  <si>
    <t>Evento Policia Militar</t>
  </si>
  <si>
    <t>Segurança / Tecnologia Pública</t>
  </si>
  <si>
    <t xml:space="preserve">WTC PARTICIPAÇÕES SA </t>
  </si>
  <si>
    <t>Fórum da Reforma Tributária</t>
  </si>
  <si>
    <t>Público / Economia / Governo</t>
  </si>
  <si>
    <t>Técnicas de Gestão de Tempo</t>
  </si>
  <si>
    <t>Ajorpeme</t>
  </si>
  <si>
    <t>Square e Rooftop Completo - Prédio UNI</t>
  </si>
  <si>
    <t>Empreendedorismo / Pequenas Empresas</t>
  </si>
  <si>
    <t>Institucional / Associativo / Empreendedorismo</t>
  </si>
  <si>
    <t>MASTERCACAU BRANDT DO BRASIL EMPORIUM</t>
  </si>
  <si>
    <t>Stand Square (Exposição) / Prédio HUB</t>
  </si>
  <si>
    <t>Alimentos / Exportação / Empreendedorismo</t>
  </si>
  <si>
    <t>Empresarial / Alimentos Gourmet / Exportação</t>
  </si>
  <si>
    <t>Etech Jr.</t>
  </si>
  <si>
    <t>Educação / Tecnologia / Empreendedorismo Jovem</t>
  </si>
  <si>
    <t>Educacional / Inovação / Júnior</t>
  </si>
  <si>
    <t>Reunião EFICEM</t>
  </si>
  <si>
    <t>Técnico / Reunião Profissional</t>
  </si>
  <si>
    <t>AP MARKETING DIGITAL</t>
  </si>
  <si>
    <t>Comunicação / Mídia / Estratégia Digital</t>
  </si>
  <si>
    <t>Empresarial / Marketing</t>
  </si>
  <si>
    <t>Condecon</t>
  </si>
  <si>
    <t>Economia / Governança / Institucional</t>
  </si>
  <si>
    <t>Público / Conselho Econômico</t>
  </si>
  <si>
    <t>Perville – Equipe de Projetos</t>
  </si>
  <si>
    <t>Engenharia / Gestão / Inovação</t>
  </si>
  <si>
    <t>Corporativo / Engenharia / Projetos</t>
  </si>
  <si>
    <t>Evento Gilmar Mendes - Perville</t>
  </si>
  <si>
    <t>Jurídico / Político / Institucional</t>
  </si>
  <si>
    <t xml:space="preserve">Secretaria de Estado da Ciência, Tecnologia e Inovação - SCTI / SC mais inovação </t>
  </si>
  <si>
    <t>Governo / Inovação / Ciência e Tecnologia</t>
  </si>
  <si>
    <t>Governo / Inovação / Tecnologia</t>
  </si>
  <si>
    <t>Porto Itapoá</t>
  </si>
  <si>
    <t>Logística portuária e infraestrutura</t>
  </si>
  <si>
    <t>Visita institucional / Relacionamento empresarial</t>
  </si>
  <si>
    <t>Visita Oracle</t>
  </si>
  <si>
    <t>Transformação digital e tecnologia da informação</t>
  </si>
  <si>
    <t>Visita técnica / Benchmark em tecnologia</t>
  </si>
  <si>
    <t>Evento Perville com Gilmar Mendes - Joelma</t>
  </si>
  <si>
    <t>Debate jurídico e políticas públicas</t>
  </si>
  <si>
    <t>Palestra / Debate jurídico</t>
  </si>
  <si>
    <t>Sala de reunião 308 - Prédio HUB</t>
  </si>
  <si>
    <t>Educação social e impacto comunitário</t>
  </si>
  <si>
    <t>Projeto social / Ação educacional</t>
  </si>
  <si>
    <t>Yak Tratores</t>
  </si>
  <si>
    <t>Sala de reunião 05 - Prédio UNI</t>
  </si>
  <si>
    <t>Agronegócio e tecnologia agrícola</t>
  </si>
  <si>
    <t>Visita empresarial / Parceria institucional</t>
  </si>
  <si>
    <t>Produção artesanal e empreendedorismo local</t>
  </si>
  <si>
    <t>Visita institucional / Case de empreendedorismo</t>
  </si>
  <si>
    <t>Rodada de Negócios Acredicoop</t>
  </si>
  <si>
    <t>Cooperativismo e networking empresarial</t>
  </si>
  <si>
    <t>Rodada de negócios / Networking empresarial</t>
  </si>
  <si>
    <t>Sala de reunião 05 - Prédio MOB</t>
  </si>
  <si>
    <t>Desenvolvimento pessoal e liderança</t>
  </si>
  <si>
    <t>Palestra / Mentoria</t>
  </si>
  <si>
    <t>Organa de Sustentabilidade</t>
  </si>
  <si>
    <t>ESG, meio ambiente e responsabilidade corporativa</t>
  </si>
  <si>
    <t>Encontro temático / Sustentabilidade e ESG</t>
  </si>
  <si>
    <t>BFS Engenharia</t>
  </si>
  <si>
    <t>Sala de reunião 04 - Prédio UNI</t>
  </si>
  <si>
    <t>Engenharia e inovação industrial</t>
  </si>
  <si>
    <t>Reunião Ágora -  Inctus transição energética</t>
  </si>
  <si>
    <t>Sustentabilidade e energia limpa</t>
  </si>
  <si>
    <t>Reunião técnica / Sustentabilidade e energia</t>
  </si>
  <si>
    <t>Reunião de Planejamento Estratégico</t>
  </si>
  <si>
    <t>Gestão e estratégia organizacional</t>
  </si>
  <si>
    <t>Oficina / Planejamento organizacional</t>
  </si>
  <si>
    <t>Condominio Perini</t>
  </si>
  <si>
    <t>Ecossistema empresarial e inovação industrial</t>
  </si>
  <si>
    <t>Visita institucional / Networking corporativo</t>
  </si>
  <si>
    <t>Sala de reunião 206 - Prédio HUB</t>
  </si>
  <si>
    <t>Startups e inovação tecnológica</t>
  </si>
  <si>
    <t>Visita técnica / Ecossistema de inovação</t>
  </si>
  <si>
    <t>FEJUNIOR</t>
  </si>
  <si>
    <t>Empreendedorismo estudantil</t>
  </si>
  <si>
    <t>Evento acadêmico / Empreendedorismo estudantil</t>
  </si>
  <si>
    <t>ROGGA</t>
  </si>
  <si>
    <t>Construção civil e urbanismo</t>
  </si>
  <si>
    <t>Visita institucional / Parceria empresarial</t>
  </si>
  <si>
    <t>Reunião de Alinhamento - Ágora Tech Park</t>
  </si>
  <si>
    <t>Planejamento e colaboração em inovação</t>
  </si>
  <si>
    <t>Reunião de alinhamento / Planejamento</t>
  </si>
  <si>
    <t>Four Eight Culture</t>
  </si>
  <si>
    <t>Cultura organizacional e inovação</t>
  </si>
  <si>
    <t>Workshop / Cultura organizacional</t>
  </si>
  <si>
    <t>Mayara Hannemann</t>
  </si>
  <si>
    <t>Desenvolvimento humano e liderança</t>
  </si>
  <si>
    <t>Mentoria / Desenvolvimento de lideranças</t>
  </si>
  <si>
    <t>Liga Talks | Liderança</t>
  </si>
  <si>
    <t>Liderança</t>
  </si>
  <si>
    <t>Workshop Liderança</t>
  </si>
  <si>
    <t>Parcerias institucionais e desenvolvimento regional</t>
  </si>
  <si>
    <t>Reunião institucional / Parceria pública</t>
  </si>
  <si>
    <t>Prefeitura de Joinville</t>
  </si>
  <si>
    <t>WVHS Advocacia Empresarial</t>
  </si>
  <si>
    <t>Direito empresarial e governança</t>
  </si>
  <si>
    <t>Reunião corporativa / Consultoria jurídica</t>
  </si>
  <si>
    <t>YAK TRACTORS</t>
  </si>
  <si>
    <t>AZIMUTE ENGENHEIROS</t>
  </si>
  <si>
    <t>Sala de reunião 03 - Prédio UNI</t>
  </si>
  <si>
    <t>Engenharia civil e projetos técnicos</t>
  </si>
  <si>
    <t>Visita institucional / Engenharia</t>
  </si>
  <si>
    <t>Janine Girardi</t>
  </si>
  <si>
    <t>Sala de reunião Espaço Executivo Fábio Perini - Prédio UNI</t>
  </si>
  <si>
    <t>Gestão de pessoas e educação executiva</t>
  </si>
  <si>
    <t>Palestra / Educação executiva</t>
  </si>
  <si>
    <t>CONEXÃO SUECIA</t>
  </si>
  <si>
    <t>Cooperação internacional e inovação sustentável</t>
  </si>
  <si>
    <t>Evento internacional / Cooperação e inovação</t>
  </si>
  <si>
    <t>Internacionalização e inovação</t>
  </si>
  <si>
    <t>Evento de internacionalização / Parceria global</t>
  </si>
  <si>
    <t>Prototipagem, inovação e manufatura digital</t>
  </si>
  <si>
    <t>Visita técnica / Inovação e prototipagem</t>
  </si>
  <si>
    <t>CyberID RoadTrip 2025</t>
  </si>
  <si>
    <t>Cibersegurança e tecnologia digital</t>
  </si>
  <si>
    <t>Evento itinerante / Tecnologia e cibersegurança</t>
  </si>
  <si>
    <t>Capital Creative</t>
  </si>
  <si>
    <t>Fotos/Vídeos externos</t>
  </si>
  <si>
    <t>Economia criativa e inovação</t>
  </si>
  <si>
    <t>Evento de inovação / Economia criativa</t>
  </si>
  <si>
    <t>Capital Creative Hub</t>
  </si>
  <si>
    <t>Sala de reunião 1/2 - Prédio MOB</t>
  </si>
  <si>
    <t>Educação superior, pesquisa e inovação</t>
  </si>
  <si>
    <t>Visita institucional / Parceria acadêmica</t>
  </si>
  <si>
    <t>Inovação, tecnologia e empreendedorismo</t>
  </si>
  <si>
    <t>Evento institucional / Ecossistema de inovação</t>
  </si>
  <si>
    <t>CACAU SHOW - TANIA</t>
  </si>
  <si>
    <t>Franquias e gestão de negócios</t>
  </si>
  <si>
    <t>Treinamento / Franquias e gestão</t>
  </si>
  <si>
    <t>Igor Spillere</t>
  </si>
  <si>
    <t>Empreendedorismo e inovação local</t>
  </si>
  <si>
    <t>Encontro / Empreendedorismo e inovação</t>
  </si>
  <si>
    <t>ECO MACH TECH DO BRASIL</t>
  </si>
  <si>
    <t>Tecnologia sustentável e indústria verde</t>
  </si>
  <si>
    <t>Visita técnica / Tecnologia sustentável</t>
  </si>
  <si>
    <t>Educação tecnológica e empreendedorismo jovem</t>
  </si>
  <si>
    <t>Evento estudantil / Empreendedorismo júnior</t>
  </si>
  <si>
    <t>Liga Ágora | Cinema</t>
  </si>
  <si>
    <t>Cinema / Noites de Jogos - Liga Ágora</t>
  </si>
  <si>
    <t>Evento cultural e de integração</t>
  </si>
  <si>
    <t>Sala de reunião 06 - Prédio MOB</t>
  </si>
  <si>
    <t>Iniciativa contínua voltada à integração, capacitação e fortalecimento da comunidade do Ágora Tech Park, com atividades de networking, aprendizado e colaboração.</t>
  </si>
  <si>
    <t>ETECH EJs</t>
  </si>
  <si>
    <t>FUNDACAO EDUCACIONAL REGIONAL JARAGUAENSE</t>
  </si>
  <si>
    <t>Educação e formação profissional</t>
  </si>
  <si>
    <t>Visita institucional / Parceria educacional</t>
  </si>
  <si>
    <t>Imersão em ecossistemas de inovação</t>
  </si>
  <si>
    <t>Tour institucional / Ecossistema de inovação</t>
  </si>
  <si>
    <t>Noites de Jogos  - Liga Ágora</t>
  </si>
  <si>
    <t>Integração, cultura e networking</t>
  </si>
  <si>
    <t>Evento de integração e networking</t>
  </si>
  <si>
    <t>GLOBAL LEADERSHIP SUMMIT - JOINVILLE</t>
  </si>
  <si>
    <t>31/10/2025 e 01/11/2025</t>
  </si>
  <si>
    <t>Liderança, propósito e influência positiva</t>
  </si>
  <si>
    <t>Conferência / Liderança e propósito</t>
  </si>
  <si>
    <t>Nuvabo &amp; Liga | Programa de Aceleração de EJs</t>
  </si>
  <si>
    <t>Programa de Aceleração de EJs</t>
  </si>
  <si>
    <t>Programa de Aceleração de EJs**</t>
  </si>
  <si>
    <t>Ecossistema de inovação e empreendedorismo regional</t>
  </si>
  <si>
    <t>Evento de inovação / Ecossistema regional</t>
  </si>
  <si>
    <t>Gabriel Santana Eduardo</t>
  </si>
  <si>
    <t>Desenvolvimento pessoal e inovação</t>
  </si>
  <si>
    <t>Palestra / Desenvolvimento pessoal</t>
  </si>
  <si>
    <t>Treinamento para empresas Juniores UFSC</t>
  </si>
  <si>
    <t>De OKRs a Governança</t>
  </si>
  <si>
    <t>SOCIEDADE CATARINENSE COMERCIO, IMPORTACAO E EXPOR</t>
  </si>
  <si>
    <t>Comércio exterior e indústria</t>
  </si>
  <si>
    <t>Visita institucional / Comércio exterior</t>
  </si>
  <si>
    <t>Treinamento de Franqueados Calzoon</t>
  </si>
  <si>
    <t>Capacitação e gestão de franquias</t>
  </si>
  <si>
    <t>Treinamento / Capacitação empresarial</t>
  </si>
  <si>
    <t>FOUR EIGHT CULTURE</t>
  </si>
  <si>
    <t>Off for the year</t>
  </si>
  <si>
    <t>Ágora UNI</t>
  </si>
  <si>
    <t xml:space="preserve">Ágora </t>
  </si>
  <si>
    <t xml:space="preserve">Evento </t>
  </si>
  <si>
    <t>Empreendedorismo inovador, ideação e pré-incubação.</t>
  </si>
  <si>
    <t>Compass</t>
  </si>
  <si>
    <t>Tecnologia, consultoria em TI, inovação digital.</t>
  </si>
  <si>
    <t xml:space="preserve">Treinamento corporativo </t>
  </si>
  <si>
    <t>Automação industrial, robótica, indústria 4.0.</t>
  </si>
  <si>
    <t>Workshop técnico</t>
  </si>
  <si>
    <t>Engenharia civil, infraestrutura e construção.</t>
  </si>
  <si>
    <t>Encontro corporativo</t>
  </si>
  <si>
    <t>UFSC - Evento 15 anos babitonga.</t>
  </si>
  <si>
    <t>Sustentabilidade, meio ambiente, conservação costeira.</t>
  </si>
  <si>
    <t>Evento comemorativo institucional</t>
  </si>
  <si>
    <t>Indústria, inovação, negócios e logística.</t>
  </si>
  <si>
    <t>Inovação, tecnologia, parques tecnológicos, empreendedorismo.</t>
  </si>
  <si>
    <t>Evento itinerante de inovação</t>
  </si>
  <si>
    <t>Mectrol</t>
  </si>
  <si>
    <t>Indústria metalmecânica, soluções industriais</t>
  </si>
  <si>
    <t>WEBER FOOD</t>
  </si>
  <si>
    <t>Indústria alimentícia, gestão de produção e inovação no setor de alimentos.</t>
  </si>
  <si>
    <t>SAE Brasil</t>
  </si>
  <si>
    <t>Auditório/Square - Prédio HUB</t>
  </si>
  <si>
    <t>Engenharia automotiva, mobilidade, inovação industrial.</t>
  </si>
  <si>
    <t>Simpósio técnico/engenharia</t>
  </si>
  <si>
    <t>Reunião técnica</t>
  </si>
  <si>
    <t>Anna- Liga Agora</t>
  </si>
  <si>
    <t>Empreendedorismo universitário, formação de líderes.</t>
  </si>
  <si>
    <t>Encontro de comunidade de inovação</t>
  </si>
  <si>
    <t>United Imaging Healthcare</t>
  </si>
  <si>
    <t>Equipamentos médicos, tecnologia em saúde, inovação diagnóstica.</t>
  </si>
  <si>
    <t>Reunião executiva</t>
  </si>
  <si>
    <t>Armazém Cloud</t>
  </si>
  <si>
    <t>Tecnologia, computação em nuvem, serviços digitais.</t>
  </si>
  <si>
    <t>AinGlobal Importação e Exportação LTDA</t>
  </si>
  <si>
    <t>Comércio exterior, logística internacional.</t>
  </si>
  <si>
    <t>Encontro técnico</t>
  </si>
  <si>
    <t>CANELA DOURADA EVENTOS - Feira mensal</t>
  </si>
  <si>
    <t>Artesanato, economia criativa, comércio local</t>
  </si>
  <si>
    <t>Empreendedorismo jovem, projetos tecnológicos, empresa júnior.</t>
  </si>
  <si>
    <t>Nurse Biz - 3º Evento de Inovação e Empreendedorismo em Enfermagem</t>
  </si>
  <si>
    <t>Inovação em saúde, empreendedorismo, enfermagem.</t>
  </si>
  <si>
    <t>Conferência setorial de saúde</t>
  </si>
  <si>
    <t>Indústria de manufatura, inovação em processos, materiais.</t>
  </si>
  <si>
    <t>Evento corporativo de apresentação institucional</t>
  </si>
  <si>
    <t>Agora master</t>
  </si>
  <si>
    <t>Sala de Metodologia 01 -Prédio UNI</t>
  </si>
  <si>
    <t>Ecossistema de inovação, desenvolvimento profissional, networking.</t>
  </si>
  <si>
    <t>Workshop intensivo</t>
  </si>
  <si>
    <t>Gastronomia, produção artesanal, economia criativa.</t>
  </si>
  <si>
    <t>Feira / exposição gastronômica</t>
  </si>
  <si>
    <t>ESCRITORIO DE APOIO TECNOLOGICO INTERMODAL</t>
  </si>
  <si>
    <t>Tecnologia, logística, inovação no transporte.</t>
  </si>
  <si>
    <t>Reunião corporativo</t>
  </si>
  <si>
    <t>Agora Master</t>
  </si>
  <si>
    <t>Educação, comunicação, desenvolvimento profissional.</t>
  </si>
  <si>
    <t>Workshop intensivo / formação executiva</t>
  </si>
  <si>
    <t>Daniele Haak</t>
  </si>
  <si>
    <t>Serviços notariais, gestão pública, regulamentação.</t>
  </si>
  <si>
    <t xml:space="preserve">Cartório Pirabeiraba </t>
  </si>
  <si>
    <t>UDESC - Joice</t>
  </si>
  <si>
    <t>Escadaria - Sala de Metodologia Completa - Prédio UNI</t>
  </si>
  <si>
    <t>Educação, extensão, empreendedorismo universitário.</t>
  </si>
  <si>
    <t>Workshop acadêmico</t>
  </si>
  <si>
    <t>Steamulando</t>
  </si>
  <si>
    <t>08/11/2025 e 09/11/2025</t>
  </si>
  <si>
    <t>Jornada</t>
  </si>
  <si>
    <t>TRG</t>
  </si>
  <si>
    <t>Sala de Metodologia 02 (mini auditório)  -  Prédio UNI</t>
  </si>
  <si>
    <t>Indústria, gestão, soluções corporativas.</t>
  </si>
  <si>
    <t>Ielusc - Evento interno do curso de bacharelado em administração / Apresentação final dos pitches</t>
  </si>
  <si>
    <t>Educação superior, inovação, apresentação de projetos.</t>
  </si>
  <si>
    <t>Pitch day / banca avaliadora acadêmica</t>
  </si>
  <si>
    <t xml:space="preserve">Pollux </t>
  </si>
  <si>
    <t>Gestão de inovação, governança, estratégia organizacional.</t>
  </si>
  <si>
    <t>Reunião técnica / apresentação</t>
  </si>
  <si>
    <t>Fundação Pró-Rim</t>
  </si>
  <si>
    <t>Saúde, filantropia, prevenção e tratamento de doenças renais.</t>
  </si>
  <si>
    <t>Evento institucional de saúde</t>
  </si>
  <si>
    <t>SUSTENTARQ 2025 – A Sustentabilidade Começa No Projeto</t>
  </si>
  <si>
    <t>Sustentabilidade, arquitetura, urbanismo.</t>
  </si>
  <si>
    <t>Conferência temática (sustentabilidade &amp; arquitetura)</t>
  </si>
  <si>
    <t>Ágora Tech Park - Reunião LIVE / Planejamento estratégico</t>
  </si>
  <si>
    <t>Sala de reunião Espaço Executivo Fábio Perini -  Prédio UNI</t>
  </si>
  <si>
    <t>Reunião estratégica executiva</t>
  </si>
  <si>
    <t>SENAC - JOINVILLE</t>
  </si>
  <si>
    <t>Educação profissional, gestão e serviços.</t>
  </si>
  <si>
    <t>Workshop educacional</t>
  </si>
  <si>
    <t>HARD</t>
  </si>
  <si>
    <t>Square/Auditório -  Prédio HUB</t>
  </si>
  <si>
    <t>Aceleração de startups industriais, inovação tecnológica.</t>
  </si>
  <si>
    <t>Conferência / evento de inovação</t>
  </si>
  <si>
    <t xml:space="preserve">Energia de sobra para acelerar o seu negócio. Como reduzir custos e potencializar resultados </t>
  </si>
  <si>
    <t>Eficiência energética, redução de custos, sustentabilidade industrial.</t>
  </si>
  <si>
    <t>Workshop técnico/energia</t>
  </si>
  <si>
    <t>Escadaria/Rooftop Completo - Prédio UNI</t>
  </si>
  <si>
    <t>Evento institucional / cerimônia / encontro</t>
  </si>
  <si>
    <t xml:space="preserve">Reunião de Governança - Join.Valle </t>
  </si>
  <si>
    <t>Governança do ecossistema de inovação.</t>
  </si>
  <si>
    <t>Reunião estratégica de governança</t>
  </si>
  <si>
    <t>Setor automotivo, cadeia industrial, fornecedores.</t>
  </si>
  <si>
    <t>Rôgga Empreendimentos</t>
  </si>
  <si>
    <t>Construção civil, urbanismo, mercado imobiliário.</t>
  </si>
  <si>
    <t xml:space="preserve">Reunião executiva </t>
  </si>
  <si>
    <t>Conectando Ideias, Transformando Realidades</t>
  </si>
  <si>
    <t>Ativação itinerante</t>
  </si>
  <si>
    <t>Visitas técnicas, ativações em outras escolas, feiras e espaços públicos.</t>
  </si>
  <si>
    <t>Workshop estudantil</t>
  </si>
  <si>
    <t xml:space="preserve">Inovação e Futuro da Indústria </t>
  </si>
  <si>
    <t>Indústria 4.0, tecnologias emergentes.</t>
  </si>
  <si>
    <t>Workshop institucional</t>
  </si>
  <si>
    <t>AULA NO ÁGORA CONNECT + YONA + UNIVILLE (Curso de Desenvolvimento Gerencial e Gestão de Pessoas)</t>
  </si>
  <si>
    <t>Espaço Connect</t>
  </si>
  <si>
    <t>Desenvolvimento Gerencial e Gestão de Pessoas</t>
  </si>
  <si>
    <t>Curso</t>
  </si>
  <si>
    <t>Santa Fé</t>
  </si>
  <si>
    <t>Liderança Estratégica em Ambientes de Alta Performance</t>
  </si>
  <si>
    <t>Reunião Executiva</t>
  </si>
  <si>
    <t>NetCred</t>
  </si>
  <si>
    <t>Serviços financeiros, crédito, fintechs.</t>
  </si>
  <si>
    <t>Conferência / Evento Corporativo</t>
  </si>
  <si>
    <t>Peadville - Workshop totalmente prático sobre obras de infraestrutura urbana</t>
  </si>
  <si>
    <t>Infraestrutura, engenharia urbana, obras públicas.</t>
  </si>
  <si>
    <t>Workshop totalmente prático sobre obras de infraestrutura urbana</t>
  </si>
  <si>
    <t>Pré reserva - Semente</t>
  </si>
  <si>
    <t>Inovação, incubação e aceleração de startups.</t>
  </si>
  <si>
    <t>Pré-evento de Lançamento</t>
  </si>
  <si>
    <t>AMUNESC</t>
  </si>
  <si>
    <t>Sala de reunião Espaço Executivo Fábio Perini/Rooftop 02 -  Prédio UNI</t>
  </si>
  <si>
    <t>Gestão pública municipal, desenvolvimento regional.</t>
  </si>
  <si>
    <t>Reunião institucional</t>
  </si>
  <si>
    <t>REUNIÃO NIT (NÚCLEO DE TECNOLOGIA E INOVAÇÃO)</t>
  </si>
  <si>
    <t>Propriedade intelectual, inovação, pesquisa aplicada.</t>
  </si>
  <si>
    <t>Conexão Inditec</t>
  </si>
  <si>
    <t>Indústria, tecnologia e conexões empresariais.</t>
  </si>
  <si>
    <t>Visita técnica com caráter formativo</t>
  </si>
  <si>
    <t>Industry AI Ventures - Coquetel de lançamento</t>
  </si>
  <si>
    <t>Inteligência artificial, venture capital, deep tech.</t>
  </si>
  <si>
    <t>Square / Prédio HUB/Auditório/Sala de treinamento - Capacidade até 50 lugares (analisar opções de formato) / Prédio HUB -  Prédio HUB</t>
  </si>
  <si>
    <t>Conferência empresarial</t>
  </si>
  <si>
    <t>Condomínio Perini Business Park</t>
  </si>
  <si>
    <t>Conferência corporativo</t>
  </si>
  <si>
    <t>Conferência de comércio exterior e logística internacional</t>
  </si>
  <si>
    <t xml:space="preserve">Fundação Pró-Rim </t>
  </si>
  <si>
    <t>Evento institucional / filantropia e saúde</t>
  </si>
  <si>
    <t>Agora Tech Park - Pré reserva</t>
  </si>
  <si>
    <t>Square / Prédio HUB/Auditório - Prédio HUB</t>
  </si>
  <si>
    <t>Conferência de inovação e governança</t>
  </si>
  <si>
    <t>Ágora Connect: Inovação Industrial sob as Estrelas</t>
  </si>
  <si>
    <t>Conferência no  Ágora Connect: Inovação Industrial</t>
  </si>
  <si>
    <t>Ágora Connect: Construindo Experiências e Negócios Sustentáveis</t>
  </si>
  <si>
    <t>Conferência no Ágora Connect: Negócios Sustentáveis</t>
  </si>
  <si>
    <t>Review do projeto Nisus Aerodesign</t>
  </si>
  <si>
    <t>Engenharia de Precisão e Alta Performance</t>
  </si>
  <si>
    <t>Clã</t>
  </si>
  <si>
    <t>Comunicação, design ou economia criativa (depende da empresa).</t>
  </si>
  <si>
    <t>Conferência de comunicação, design ou economia criativa</t>
  </si>
  <si>
    <t>Educação, mentoria, desenvolvimento humano.</t>
  </si>
  <si>
    <t>Conferência de mentoria e desenvolvimento humano</t>
  </si>
  <si>
    <t>ÁGORA TECH PARK - TOUR</t>
  </si>
  <si>
    <t>Conferência de visita técnica formativa</t>
  </si>
  <si>
    <t>BONJA</t>
  </si>
  <si>
    <t>Educação, ensino básico, eventos escolares.</t>
  </si>
  <si>
    <t>Conferência de educação, eventos escolares</t>
  </si>
  <si>
    <t>SICREDI</t>
  </si>
  <si>
    <t>Cooperativismo de crédito, finanças, desenvolvimento comunitário.</t>
  </si>
  <si>
    <t>Conferência de cooperativismo de crédito e finanças</t>
  </si>
  <si>
    <t>Paul Michel Gogola Muller</t>
  </si>
  <si>
    <t>Consultoria, gestão, liderança (pessoa física/mentor).</t>
  </si>
  <si>
    <t>Treinamento em mentoria e consultoria</t>
  </si>
  <si>
    <t>Diretorias dos Hospitais de Joinville</t>
  </si>
  <si>
    <t>Gestão hospitalar, saúde pública.</t>
  </si>
  <si>
    <t>Treinamento em gestão hospitalar e saúde pública</t>
  </si>
  <si>
    <t>JOINTECH INDUSTRIAL S/A - Rodrigo</t>
  </si>
  <si>
    <t>Indústria, automação, tecnologia industrial.</t>
  </si>
  <si>
    <t>Conferência em Indústria e tecnologia industrial</t>
  </si>
  <si>
    <t xml:space="preserve">(PIB) Plural Intelligence Business </t>
  </si>
  <si>
    <t>Auditório -Prédio HUB</t>
  </si>
  <si>
    <t>Inteligência de negócios, dados, estratégia corporativa.</t>
  </si>
  <si>
    <t>Conferência em inteligência de negócios</t>
  </si>
  <si>
    <t>Educação, pesquisa, extensão universitária.</t>
  </si>
  <si>
    <t>Atividade institucional/visita acadêmica</t>
  </si>
  <si>
    <t>Sala de Metodologia 02 (mini auditório)  -Prédio UNI</t>
  </si>
  <si>
    <t>Logística portuária, comércio internacional, infraestrutura marítima.</t>
  </si>
  <si>
    <t>Workshop de reunião logística</t>
  </si>
  <si>
    <t>Elkem</t>
  </si>
  <si>
    <t>Indústria de materiais, metalurgia, inovação industrial.</t>
  </si>
  <si>
    <t>Evento corporativo industrial</t>
  </si>
  <si>
    <t>Seminário de Gestão de Recursos e Defesa (SGERD)</t>
  </si>
  <si>
    <t>Segurança, defesa, gestão pública, estratégia governamental.</t>
  </si>
  <si>
    <t>Indústria de eletrodomésticos, manufatura avançada.</t>
  </si>
  <si>
    <t>Treinamento industrial</t>
  </si>
  <si>
    <t>Ecossistema de inovação, empreendedorismo e tecnologia.</t>
  </si>
  <si>
    <t>TERMICA</t>
  </si>
  <si>
    <t>Onde a energia encontra a engenharia para gerar eficiência.</t>
  </si>
  <si>
    <t>TWYGO</t>
  </si>
  <si>
    <t>Educação corporativa, plataformas de treinamento.</t>
  </si>
  <si>
    <t>ENCERRAMENTO TWYGO</t>
  </si>
  <si>
    <t>Rooftop Principal 01 -  Prédio UNI</t>
  </si>
  <si>
    <t>Evento de encerramento</t>
  </si>
  <si>
    <t>União Europeia - Fapesc</t>
  </si>
  <si>
    <t>Inovação, cooperação internacional, pesquisa científica.</t>
  </si>
  <si>
    <t>Exposição gastronômica</t>
  </si>
  <si>
    <t>NAVEGAR 2025: Rumo ao Futuro com Propósito</t>
  </si>
  <si>
    <t>Liderança, impacto social, planejamento estratégico.</t>
  </si>
  <si>
    <t>Sala de reunião Espaço Executivo Fábio Perini - Capacidade 17 pessoas / Prédio UNI - Rooftop 02 - Prédio UNI</t>
  </si>
  <si>
    <t>Encerramento do curso de Pós-Graduação MBI em Indústria 4.0</t>
  </si>
  <si>
    <t>Indústria 4.0, transformação digital, capacitação executiva.</t>
  </si>
  <si>
    <t>Cerimônia de encerramento acadêmica</t>
  </si>
  <si>
    <t>QUEST - FEIRA DE CIENCIA</t>
  </si>
  <si>
    <t>Educação científica, projetos escolares, inovação.</t>
  </si>
  <si>
    <t>Feira científica</t>
  </si>
  <si>
    <t>Q -  ASSIST</t>
  </si>
  <si>
    <t>Sala de reunião Espaço Executivo Fábio Perini -Prédio UNI</t>
  </si>
  <si>
    <t>Tecnologia educacional, sistemas de gestão.</t>
  </si>
  <si>
    <t>CLÁUDIA TRENTINI</t>
  </si>
  <si>
    <t>Sala de treinamento -Prédio HUB</t>
  </si>
  <si>
    <t>Mentoria, desenvolvimento pessoal ou empresarial.</t>
  </si>
  <si>
    <t>Feira de ciências</t>
  </si>
  <si>
    <t>28/11/2025 e 29/11/2025</t>
  </si>
  <si>
    <t>Feira interescolar</t>
  </si>
  <si>
    <t>Inteligência Artificial na Prática</t>
  </si>
  <si>
    <t>Inteligência artificial aplicada, tecnologia, capacitação profissional.</t>
  </si>
  <si>
    <t>Workshop &amp; Treinamento</t>
  </si>
  <si>
    <t>After Launch 2025 - KOSMOS</t>
  </si>
  <si>
    <t>Empreendedorismo, lançamento de startups, inovação de mercado.</t>
  </si>
  <si>
    <t>Evento de Lançamento</t>
  </si>
  <si>
    <t>Fórum executivo</t>
  </si>
  <si>
    <t>Inovação em energia eólica offshore flutuante</t>
  </si>
  <si>
    <t>STRATEGICOS GROUP</t>
  </si>
  <si>
    <t>Sala de reunião 03 - Prédio MOB</t>
  </si>
  <si>
    <t>Novas tecnologias, tendências de inovação, troca de experiências e networking em tecnologia.</t>
  </si>
  <si>
    <t>Evento comemorativo</t>
  </si>
  <si>
    <t>Reconhecimento e valorização de colaboradores, celebração de trajetórias e engajamento corporativo.</t>
  </si>
  <si>
    <t>Fórum sobre o Projeto AURA SUL WIND - O Pioneirismo da Eólica Offshore Flutuante no Brasil</t>
  </si>
  <si>
    <t xml:space="preserve">Café com Tecnologia </t>
  </si>
  <si>
    <t>"Homenagem por Tempo de Casa | Docol 2025"</t>
  </si>
  <si>
    <t>GBF CONSULTORIA &amp; GESTAO</t>
  </si>
  <si>
    <t>Evento Empresarial</t>
  </si>
  <si>
    <t>Felipe Silva</t>
  </si>
  <si>
    <t>Consultoria profissional</t>
  </si>
  <si>
    <t xml:space="preserve">Sariane Serafim </t>
  </si>
  <si>
    <t>Loja ou empresa de comércio/serviços</t>
  </si>
  <si>
    <t>Diogo maximo</t>
  </si>
  <si>
    <t>Evento cultural ou acadêmico (debates filosóficos na Universidade Federal de Santa Catarina)</t>
  </si>
  <si>
    <t>Manuella Sissy</t>
  </si>
  <si>
    <t>Evento ou iniciativa voltada para sustentabilidade e governança ambiental, social e corporativa</t>
  </si>
  <si>
    <t>Allcon</t>
  </si>
  <si>
    <t>Sala de reunião 04 - Prédio MOB</t>
  </si>
  <si>
    <t>Empresa (provavelmente de eletrônica/automação industrial), com contato ou representante chamado Lídia</t>
  </si>
  <si>
    <t>Sala de reunião 03 - Prédio UNI e Sala de reunião 05 -  Prédio MOB</t>
  </si>
  <si>
    <t>Feira mensal</t>
  </si>
  <si>
    <t>Empresa de organização de eventos</t>
  </si>
  <si>
    <t>Automação Industrial</t>
  </si>
  <si>
    <t>ALBERTO BEIER</t>
  </si>
  <si>
    <t>Koopere Cooperativa de Trabalho</t>
  </si>
  <si>
    <t>Cooperativismo</t>
  </si>
  <si>
    <t>Encontro Corporativo</t>
  </si>
  <si>
    <t>Avell</t>
  </si>
  <si>
    <t>Tecnologia</t>
  </si>
  <si>
    <t>BORDADOS JOZI</t>
  </si>
  <si>
    <t>Indústria Têxtil</t>
  </si>
  <si>
    <t>121 Smart Shop</t>
  </si>
  <si>
    <t>Varejo Inteligente</t>
  </si>
  <si>
    <t>Evento Comercial</t>
  </si>
  <si>
    <t>Café filosófico UFSC a/c Modesto</t>
  </si>
  <si>
    <t>Filosofia</t>
  </si>
  <si>
    <t>BMA SISTEMAS</t>
  </si>
  <si>
    <t>Sistemas de Gestão</t>
  </si>
  <si>
    <t xml:space="preserve"> Evento Corporativo</t>
  </si>
  <si>
    <t>leonardo comercial</t>
  </si>
  <si>
    <t>Vendas</t>
  </si>
  <si>
    <t>Reunião de Negócios</t>
  </si>
  <si>
    <t xml:space="preserve">ESG - Contruindo Rotas Sustentáveis </t>
  </si>
  <si>
    <t>IFM ELETRONIC LTDA - LÍDIA</t>
  </si>
  <si>
    <t>Indústria 4.0</t>
  </si>
  <si>
    <t>Empreendedorismo</t>
  </si>
  <si>
    <t>Prospecta Day - Núcleo Vale Boreal</t>
  </si>
  <si>
    <t>Prospecção &amp; Networking</t>
  </si>
  <si>
    <t>Evento de Networking</t>
  </si>
  <si>
    <t>RODO FLIP TRANSPORTES</t>
  </si>
  <si>
    <t>Logística</t>
  </si>
  <si>
    <t>Encontro de Negócios</t>
  </si>
  <si>
    <t>Negócios</t>
  </si>
  <si>
    <t>Liderança Jovem</t>
  </si>
  <si>
    <t>Liga Ágora &amp; CreaJR</t>
  </si>
  <si>
    <t>Inteligência de Mercado</t>
  </si>
  <si>
    <t>Sensus</t>
  </si>
  <si>
    <t>Inovação / Startups</t>
  </si>
  <si>
    <t>Reunião Join.Valle</t>
  </si>
  <si>
    <t>Saúde</t>
  </si>
  <si>
    <t>Sala de Metodologia Completa/Rooftop Completo  - Prédio UNI</t>
  </si>
  <si>
    <t>Gestão</t>
  </si>
  <si>
    <t>Jalmei Duarte</t>
  </si>
  <si>
    <t>Impacto Social</t>
  </si>
  <si>
    <t>Semente</t>
  </si>
  <si>
    <t>Sala de treinamento - (analisar opções de formato) / Prédio HUB</t>
  </si>
  <si>
    <t xml:space="preserve">Evento de Networking </t>
  </si>
  <si>
    <t>Rafael Kormann Valdez</t>
  </si>
  <si>
    <t>Marcos Paes Landim</t>
  </si>
  <si>
    <t>Educação</t>
  </si>
  <si>
    <t>Centro Educacional Micherrot</t>
  </si>
  <si>
    <t>Inovação Acadêmica</t>
  </si>
  <si>
    <t>Evento Educacional</t>
  </si>
  <si>
    <t>UNIVILLE - Apresentação de projetos de interface da Univille para diversas organizações de Joinville</t>
  </si>
  <si>
    <t>Desenvolvimento Regional</t>
  </si>
  <si>
    <t>Consultoria Estratégica</t>
  </si>
  <si>
    <t>Escadaria/Sala de Metodologia Completa - Prédio UNI</t>
  </si>
  <si>
    <t>Indústria Automotiva</t>
  </si>
  <si>
    <t>Núcleo Vale Boreal</t>
  </si>
  <si>
    <t>Saúde Ocupacional</t>
  </si>
  <si>
    <t>Reunião de Networking</t>
  </si>
  <si>
    <t>PAMPLONA ASSOCIADOS</t>
  </si>
  <si>
    <t>Engenharia Térmica</t>
  </si>
  <si>
    <t>HENGST</t>
  </si>
  <si>
    <t>Tecnologia / Importação</t>
  </si>
  <si>
    <t>Treinamento Promoção da saúde SESI</t>
  </si>
  <si>
    <t>Varejo / Franquias</t>
  </si>
  <si>
    <t>Engenharia Industrial</t>
  </si>
  <si>
    <t>GPTECH IMPORTACAO</t>
  </si>
  <si>
    <t>Desenvolvimento Imobiliário</t>
  </si>
  <si>
    <t>Ecossistema de Inovação</t>
  </si>
  <si>
    <t>Cacau Show</t>
  </si>
  <si>
    <t>Construção Civil</t>
  </si>
  <si>
    <t xml:space="preserve">Evento Comercial </t>
  </si>
  <si>
    <t>BUHLER &amp; SCHERLER S.A</t>
  </si>
  <si>
    <t>Logística Regional</t>
  </si>
  <si>
    <t>Grupo Perini</t>
  </si>
  <si>
    <t>Auditório - Prédio HUB e Rooftop Principal 01 - Prédio UNI</t>
  </si>
  <si>
    <t>Indústria</t>
  </si>
  <si>
    <t>Tecnologia &amp; Inovação</t>
  </si>
  <si>
    <t>Cisnordeste</t>
  </si>
  <si>
    <t>Gestão Imobiliária</t>
  </si>
  <si>
    <t>Transporte</t>
  </si>
  <si>
    <t>Evento de Negócios</t>
  </si>
  <si>
    <t>Felipe</t>
  </si>
  <si>
    <t>E-commerce</t>
  </si>
  <si>
    <t>Energia</t>
  </si>
  <si>
    <t>Gestão Corporativa</t>
  </si>
  <si>
    <t>Leonardo comercial</t>
  </si>
  <si>
    <t>Relacionamento Profissional</t>
  </si>
  <si>
    <t>Perini</t>
  </si>
  <si>
    <t>Engenharia</t>
  </si>
  <si>
    <t>Auditório/Rooftop Completo - Prédio UNI</t>
  </si>
  <si>
    <t>Desenvolvimento Profissional</t>
  </si>
  <si>
    <t>MAIS TRANSPORTES</t>
  </si>
  <si>
    <t>Gestão / Inovação</t>
  </si>
  <si>
    <t>PROXYS COMÉRCIO ELETRÔNICO LTDA</t>
  </si>
  <si>
    <t>Investimentos</t>
  </si>
  <si>
    <t>Inctus Bandeira Energia</t>
  </si>
  <si>
    <t>Indústria Alimentícia</t>
  </si>
  <si>
    <t>Planejamento Estratégico</t>
  </si>
  <si>
    <t>Andre</t>
  </si>
  <si>
    <t>Arquitetura</t>
  </si>
  <si>
    <t>Liderança &amp; Networking</t>
  </si>
  <si>
    <t>Tecnologia Industrial</t>
  </si>
  <si>
    <t>Felipe Segui</t>
  </si>
  <si>
    <t>Desenvolvimento profissional</t>
  </si>
  <si>
    <t>Joao Andre Ozorio</t>
  </si>
  <si>
    <t>Gestão e inovação</t>
  </si>
  <si>
    <t>Liderança e gestão</t>
  </si>
  <si>
    <t>Mercado financeiro</t>
  </si>
  <si>
    <t>Manchester Investimentos</t>
  </si>
  <si>
    <t>Indústria e usinagem</t>
  </si>
  <si>
    <t>Ponteiras Rodrigues</t>
  </si>
  <si>
    <t>Relacionamento profissional</t>
  </si>
  <si>
    <t xml:space="preserve">Milena Moser </t>
  </si>
  <si>
    <t>Indústria alimentícia</t>
  </si>
  <si>
    <t>Planejamento estratégico</t>
  </si>
  <si>
    <t>Rogga - Reunião R3</t>
  </si>
  <si>
    <t>Arquitetura e design</t>
  </si>
  <si>
    <t>Liderança e networking</t>
  </si>
  <si>
    <t>Takeo</t>
  </si>
  <si>
    <t>Encerramento da Liga Ágora &amp; Nuvabo</t>
  </si>
  <si>
    <t>Encerramento e networking</t>
  </si>
  <si>
    <t>Evento de Encerramento</t>
  </si>
  <si>
    <t>Liga ágora</t>
  </si>
  <si>
    <t>Desenvolvimento de lideranças</t>
  </si>
  <si>
    <t>Liderança feminina, propósito e impacto profissional</t>
  </si>
  <si>
    <t>15/12/2025 e 16/12/2025</t>
  </si>
  <si>
    <t>Sala de reunião 04 e Sala de reunião 03 - Prédio UNI</t>
  </si>
  <si>
    <t>Visão estratégica, crescimento e tomada de decisão</t>
  </si>
  <si>
    <t>DOCOL INDUSTRIA E COMERCIO LTDA</t>
  </si>
  <si>
    <t>Inovação industrial, sustentabilidade e excelência operacional</t>
  </si>
  <si>
    <t>16/12/2025 e 17/12/2025</t>
  </si>
  <si>
    <t>Logística inteligente, expansão portuária e competitividade global</t>
  </si>
  <si>
    <t>Transformação digital, cloud computing e eficiência logística</t>
  </si>
  <si>
    <t>Confraternização</t>
  </si>
  <si>
    <t>SED - Planejamento estratégico</t>
  </si>
  <si>
    <t>Espaço Connect, Escadaria - Prédio UNI, Sala de treinamento - Prédio HUB</t>
  </si>
  <si>
    <t>Gestão pública eficiente, metas e planejamento de longo prazo</t>
  </si>
  <si>
    <t>Indústria 4.0, automação e inovação tecnológica</t>
  </si>
  <si>
    <t>Reunião de Planejamento Estratégico - Secretaria de Esportes da Prefeitura de Joinville</t>
  </si>
  <si>
    <t>Desenvolvimento esportivo, inclusão social e políticas públicas</t>
  </si>
  <si>
    <t>Estratégia financeira, crescimento patrimonial e visão de futuro</t>
  </si>
  <si>
    <t xml:space="preserve">Walbert </t>
  </si>
  <si>
    <t>Alta performance, mentalidade de crescimento e liderança</t>
  </si>
  <si>
    <t>Inovação, experiência do consumidor e eficiência industrial</t>
  </si>
  <si>
    <t xml:space="preserve">Pro Rim </t>
  </si>
  <si>
    <t>Humanização, cuidado, impacto social e saúde</t>
  </si>
  <si>
    <t>Encerramento Time Ágora</t>
  </si>
  <si>
    <t>Resultados, aprendizado coletivo e celebração de conquistas</t>
  </si>
  <si>
    <t>EDNA</t>
  </si>
  <si>
    <t>Desenvolvimento humano, propósito e transformação</t>
  </si>
  <si>
    <t xml:space="preserve">Felipe </t>
  </si>
  <si>
    <t>Crescimento profissional e protagonismo</t>
  </si>
  <si>
    <t>Softiville</t>
  </si>
  <si>
    <t>Ecossistema de inovação, tecnologia e empreendedorismo</t>
  </si>
  <si>
    <t>Encerramento</t>
  </si>
  <si>
    <t>Construção inteligente, urbanismo e qualidade de vida</t>
  </si>
  <si>
    <t>STA SOLUCOES</t>
  </si>
  <si>
    <t>Tecnologia aplicada, eficiência e soluções sob medida</t>
  </si>
  <si>
    <t>Convenção de Vendas - STA SOLUCOES</t>
  </si>
  <si>
    <t>Alta performance comercial, metas e engajamento</t>
  </si>
  <si>
    <t>Incontrol Tecnologia LTDA</t>
  </si>
  <si>
    <t>Automação, controle de processos e inovação industrial</t>
  </si>
  <si>
    <t>Segurança jurídica, estratégia empresarial e governança</t>
  </si>
  <si>
    <t>Reunião colaboradores ISI-Laser</t>
  </si>
  <si>
    <t>Engajamento, inovação e cultura de excelência</t>
  </si>
  <si>
    <t>KROMI LOGISTICA</t>
  </si>
  <si>
    <t>Gestão de ativos, eficiência logística e inovação</t>
  </si>
  <si>
    <t>Magna</t>
  </si>
  <si>
    <t>Excelência industrial, mobilidade e inovação automotiva</t>
  </si>
  <si>
    <t>LPS COMPANY LTDA</t>
  </si>
  <si>
    <t>Crescimento estratégico, performance e escalabilidade</t>
  </si>
  <si>
    <t>Desenvolvimento profissional e visão de futuro</t>
  </si>
  <si>
    <t>Negócios globais, expansão internacional e inovação</t>
  </si>
  <si>
    <t>Mantenedores</t>
  </si>
  <si>
    <t>Nº de Mantenedores</t>
  </si>
  <si>
    <t>Forma de apoio</t>
  </si>
  <si>
    <t>Valor aportado</t>
  </si>
  <si>
    <t>Patrocínio</t>
  </si>
  <si>
    <t>R$6500/mês</t>
  </si>
  <si>
    <t>Colégio Bonja</t>
  </si>
  <si>
    <t>Acredicoop</t>
  </si>
  <si>
    <t>Patrocínio &amp; Nameright</t>
  </si>
  <si>
    <t>R$10.500/mês</t>
  </si>
  <si>
    <t>Tiflux</t>
  </si>
  <si>
    <t>Permuta</t>
  </si>
  <si>
    <t>Br.Digital</t>
  </si>
  <si>
    <t>Avatu</t>
  </si>
  <si>
    <t>Nameright</t>
  </si>
  <si>
    <t>R$2.000/mês</t>
  </si>
  <si>
    <t>Walbert</t>
  </si>
  <si>
    <t xml:space="preserve">Patrocínio </t>
  </si>
  <si>
    <t>R$1000/mês</t>
  </si>
  <si>
    <t>Q-Assist</t>
  </si>
  <si>
    <t>R$500/mês</t>
  </si>
  <si>
    <t>Hiugou</t>
  </si>
  <si>
    <t>StackX</t>
  </si>
  <si>
    <t>R$250/mês</t>
  </si>
  <si>
    <t>Organa</t>
  </si>
  <si>
    <t>Entrega EPI</t>
  </si>
  <si>
    <t>EasyPro</t>
  </si>
  <si>
    <t>IES</t>
  </si>
  <si>
    <t>Nº de Instituições de Ensino Superior na Região</t>
  </si>
  <si>
    <t>Nº de Instituições de Ensino Superior Atendidas</t>
  </si>
  <si>
    <t xml:space="preserve">Universidade Federal de Santa Catarina </t>
  </si>
  <si>
    <t>Atendida</t>
  </si>
  <si>
    <t>Universidade do Estado de Santa Catarina</t>
  </si>
  <si>
    <t>Universidade da Região de Joinville</t>
  </si>
  <si>
    <t>Centro Universitário Católica de Santa Catarina</t>
  </si>
  <si>
    <t xml:space="preserve">Centro Universitário Senai </t>
  </si>
  <si>
    <t>SENAC</t>
  </si>
  <si>
    <t>Instituto Federal de Santa Catarina</t>
  </si>
  <si>
    <t>Não atendida</t>
  </si>
  <si>
    <t>Instituto Federal Catarinense</t>
  </si>
  <si>
    <t>Centro Universitário Unisociesc</t>
  </si>
  <si>
    <t>Faculdade Censupeg</t>
  </si>
  <si>
    <t>Associação Catarinense de Ensino</t>
  </si>
  <si>
    <t>Instituto de Ensino Superior Santo Antônio</t>
  </si>
  <si>
    <t>Municípios</t>
  </si>
  <si>
    <t>Nº de Municípios na Região</t>
  </si>
  <si>
    <t>Nº de Municípios Atendidos</t>
  </si>
  <si>
    <t>Araquari</t>
  </si>
  <si>
    <t>Balneário Barra do Sul</t>
  </si>
  <si>
    <t>Campo Alegre</t>
  </si>
  <si>
    <t xml:space="preserve">Garuva </t>
  </si>
  <si>
    <t>Itapoá</t>
  </si>
  <si>
    <t>Joinville</t>
  </si>
  <si>
    <t>Rio Negrinho</t>
  </si>
  <si>
    <t>São Bento do Sul</t>
  </si>
  <si>
    <t>São Francisco do Sul</t>
  </si>
  <si>
    <t>Entidades</t>
  </si>
  <si>
    <t>Nº de Entidades na Região</t>
  </si>
  <si>
    <t>Nº de Entidades Atendidas</t>
  </si>
  <si>
    <t>Associação Brasileira da Indústria de Máquinas e Equipamentos</t>
  </si>
  <si>
    <t>Associação Brasileira da Indústria de Ferramentais</t>
  </si>
  <si>
    <t>Associação Catarinense de Tecnologia</t>
  </si>
  <si>
    <t xml:space="preserve">FABLAB/ ÁGORA </t>
  </si>
  <si>
    <t>Federação das Indústrias do Estado de Santa Catarina</t>
  </si>
  <si>
    <t>Join.Ville</t>
  </si>
  <si>
    <t>SEBRAE</t>
  </si>
  <si>
    <t>Sindicato Nacional da Indústria de Componentes para Veículos Automotores</t>
  </si>
  <si>
    <t>World Trade Center Joinville</t>
  </si>
  <si>
    <t>Associação Empresarial de Joinville</t>
  </si>
  <si>
    <t>Associação de Joinville e Região da Pequena, Micro e Média Empresa</t>
  </si>
  <si>
    <t>Convention Berault</t>
  </si>
  <si>
    <t>Grandes Empresas</t>
  </si>
  <si>
    <t>Nº de Grandes Empresas na Região</t>
  </si>
  <si>
    <t>Nº de Grandes Empresas Atendidas</t>
  </si>
  <si>
    <t>Clamed</t>
  </si>
  <si>
    <t>Schulz</t>
  </si>
  <si>
    <t>Grupo Krona</t>
  </si>
  <si>
    <t>Unimed</t>
  </si>
  <si>
    <t>Pró-Rim</t>
  </si>
  <si>
    <t>Accenture</t>
  </si>
  <si>
    <t>Arcelor Mittal</t>
  </si>
  <si>
    <t>Pré-incubadora</t>
  </si>
  <si>
    <t>Nº de Empresas Pré-Incubadas</t>
  </si>
  <si>
    <t>Data Entrada</t>
  </si>
  <si>
    <t>Data Saída</t>
  </si>
  <si>
    <t>Resultado</t>
  </si>
  <si>
    <t>Programa</t>
  </si>
  <si>
    <t>Setor</t>
  </si>
  <si>
    <t>Quantidade de Colaboradores e/ou Sócios na Entrada - Unidade Ágora</t>
  </si>
  <si>
    <t>Quantidade de Colaboradores e/ou Sócios na Saída - Unidade Ágora</t>
  </si>
  <si>
    <t>Propriedade Intelectual</t>
  </si>
  <si>
    <t>Captação de Recursos</t>
  </si>
  <si>
    <t>Faturamento Anual</t>
  </si>
  <si>
    <t>Relacionamentos Internacionais Estabelecidos</t>
  </si>
  <si>
    <t>Gabriel Henri Bernard Kossatz Mergenthaler</t>
  </si>
  <si>
    <t xml:space="preserve">Fase de ideação </t>
  </si>
  <si>
    <t>Pré-Incubação</t>
  </si>
  <si>
    <t>Ágora/Softville</t>
  </si>
  <si>
    <t>A Aqua Smart atua no crescente mercado de saúde e bem-estar, focado em tecnologia wearable e monitoramento pessoal. Com a crescente preocupação com hábitos saudáveis e a sustentabilidade, a ideia se posiciona como uma solução para a hidratação inteligente, combinando tecnologia e sustentabilidade.</t>
  </si>
  <si>
    <t>n/d</t>
  </si>
  <si>
    <t>Jouber Domingues Ramos</t>
  </si>
  <si>
    <t>Veículo ônibus sub operador de máquinas a distância ( VBSO ) : mineração, construção cívil e portuário. ( Logística em geral , na manipulação de máquinas a distância)
Carrocerias de automóveis em robôs industriais ( CRI ) : indústrias de produção metalúrgica , metalmecânica , movimentação de sacarias , plástico , e manipulação em geral. ( Carrocerias com sistemas de visão e manipulação de braços robóticos adaptados ) .</t>
  </si>
  <si>
    <t>Gabriel chagas da Silva</t>
  </si>
  <si>
    <t>Trading Automatizado: Robôs que executam ordens de compra e venda de ativos automaticamente com base em algoritmos.
 Copy Trading: Sistema onde investidores podem copiar automaticamente as estratégias de traders experientes.
 Arbitragem: Exploração de diferenças de preços entre diferentes plataformas para obter lucro com a compra e venda de ativos.
 Criptomoedas: Integração com exchanges para negociação automática de Bitcoin, Ethereum e outros criptoativos.
 Inteligência Artificial e Machine Learning: Uso de IA para otimizar estratégias, prever tendências e reduzir riscos.
 Inicialmente será isso, mas terá diversas expansões no futuro.</t>
  </si>
  <si>
    <t>Carine Campestrini</t>
  </si>
  <si>
    <t>Kaio Bedeschi</t>
  </si>
  <si>
    <t>Atuaremos inicialmente online nos estados de Minas Gerais e Santa Catarina. Temos uma parceria com uma empresa já atuante no mercado "Mata Boleto" que nos fez a validação e ensinamento do modelo de negocio e atua no estado do Rio Grande do Sul.</t>
  </si>
  <si>
    <t>Danilo Ruiz</t>
  </si>
  <si>
    <t>B2C via marketplace e B2B via revendedores.</t>
  </si>
  <si>
    <t>Guilherme Vital</t>
  </si>
  <si>
    <t>Mercado Americano</t>
  </si>
  <si>
    <t>Antônio Negreiros</t>
  </si>
  <si>
    <t>mercado B2B</t>
  </si>
  <si>
    <t>Rafael Clemente</t>
  </si>
  <si>
    <t>Nessa fase pretendemos atender o mercado de pequenas e médias empresas que tem uma necessidade latente de ferramentas e automação de processos, mas que não possuem a possibilidade de investimento em ferramentas de alto custo oferecidas pelos grandes players do mercado hoje, sendo assim, nossa proposta é oferecer a esse mercado soluções customizadas com foco na necessidade real, reduzindo o custo do investimento em uma solução onde muitas vezes não se tira o proveito máximo do pacote comprado.</t>
  </si>
  <si>
    <t>Arthur Eduardo Machado</t>
  </si>
  <si>
    <t>A dor nas costas é uma pandemia silenciosa, afetando até 70% da população mundial. No Brasil, mais de 40 milhões de pessoas sofrem com essa condição, e o mercado de saúde digital está em expansão, projetando um crescimento de R$ 4,3 bilhões até 2025.</t>
  </si>
  <si>
    <t>Rafael Dalzotto Araujo</t>
  </si>
  <si>
    <t>A principio nacional, mas com interesse em internacionalização.</t>
  </si>
  <si>
    <t>Thiago Antonio Fagundes de Oliveira</t>
  </si>
  <si>
    <t>O projeto "Libras de Inclusão" atua no setor de educação, acessibilidade e inclusão social, com foco na promoção da Língua Brasileira de Sinais (Libras) e no fortalecimento da representatividade surda em espaços institucionais.
 Atualmente, a demanda por acessibilidade linguística tem crescido significativamente, tanto no setor público quanto no privado. Empresas, escolas, universidades e órgãos governamentais estão cada vez mais reconhecendo a importância da inclusão da comunidade surda, gerando oportunidades para projetos que promovam a difusão e o ensino de Libras.
 Além disso, há uma necessidade urgente de profissionais qualificados para atuar como intérpretes e instrutores de Libras, bem como de lideranças surdas capazes de coordenar iniciativas inclusivas. O projeto "Libras de Inclusão" atenderá essa demanda ao oferecer cursos de capacitação, suporte a intérpretes, certificação profissional e assessoramento na implementação de políticas públicas acessíveis.</t>
  </si>
  <si>
    <t>Douglas Pavinato</t>
  </si>
  <si>
    <t>Não temos pesquisas de mercado, acreditamos que essas dinâmicas possam ser ofertadas tanto no ambiente familiar/amigos quanto no mundo corporativo.</t>
  </si>
  <si>
    <t>Jessica dos santos colla</t>
  </si>
  <si>
    <t>Imobiliário</t>
  </si>
  <si>
    <t>José Carlos Veneri</t>
  </si>
  <si>
    <t>Atuará no mercado brasileiro de barbearias, que ocupa hoje o segundo lugar no mercado global de produtos e serviços de beleza masculina, representando aproximadamente 13% desse mercado mundial.</t>
  </si>
  <si>
    <t>Caio Turri</t>
  </si>
  <si>
    <t>O padel vem se popularizando cada vez mais ganhando recentemente o título de "esporte que mais cresce no mundo". No Brasil a popularidade do esporte é predominante na região sul. Analisando o cenário de Joinville o crescimento é perceptível pelo surgimento recente de diversos clubes destinados a pratica do esporte além de uma gama muito grande de jogadores iniciantes.
 Como dito na descrição da ideia a ferramenta pode ser facilmente adaptada para a pratica de beach tenis e pickeball, duas modalidades que também vem ganhando muita representatividade. Beach tenis teve um crecimento muito forte nas regiões sudeste e centro-oeste do país e o Pickeball ja apresenta um mercado forte nos EUA com diversos clubes no Brasil demonstrando interesse na modalidade.</t>
  </si>
  <si>
    <t>Isabela Clemente Baldan</t>
  </si>
  <si>
    <t>Atuar em empresas que possuam mais de 10 colaboradores e um faturamento anual acima de 1M</t>
  </si>
  <si>
    <t>Giana Cristine Dalcanale</t>
  </si>
  <si>
    <t>Mercado pet
 O mercado nacional de dermocosméticos para cães e gatos está em expansão no Brasil, impulsionado pelo aumento do número de tutores e pela crescente preocupação com o bem-estar dos pets. Empresas como Virbac têm lançado linhas especializadas, como a Phisioderm, que inclui produtos para diferentes tipos de pele, como shampoos, condicionadores, sprays hidratantes e limpadores auriculares.
 Além disso, o setor de cosméticos para pets no Brasil tem previsão de crescimento de 47,8% até 2026, com uma movimentação significativa de recursos e inovação, incluindo spas e tecnologias voltadas para o cuidado animal</t>
  </si>
  <si>
    <t>Gabriel Helko Meyer</t>
  </si>
  <si>
    <t>O projeto atua no mercado de mobilidade urbana, mais especificamente no nicho de caronas compartilhadas. É um setor com potencial de crescimento no Brasil, onde há alta dependência do transporte individual, congestionamentos e busca por soluções sustentáveis. Com mais de 17 milhões de usuários em caronas no país (BlaBlaCar, 2024), o mercado é amplo e em evolução.</t>
  </si>
  <si>
    <t>Laudeneyde Lins Campos</t>
  </si>
  <si>
    <t>Mercado de acessórios para bicicletas. Há bastante espaço e nenhum concorrente.</t>
  </si>
  <si>
    <t>Jackson Michalak</t>
  </si>
  <si>
    <t>O segmento de manutenção preditiva cresce a dois dígitos por ano:
 Global: de US $ 3,9 bi em 2018 para US $ 9,84 bi em 2023 (CAGR ≈ 26 %) e projeção de US $ 60,13 bi até 2030 (CAGR 29,5 %) .
 Brasil: salto de US $ 348,6 mi em 2023 para US $ 2,3226 bi até 2030 (CAGR 31,1 %) .
 Paralelamente, The True Cost of Downtime 2024 da Siemens demonstra que as 500 maiores empresas perdem US $ 1,4 tri/ano — cerca de 11 % da receita anual — com paradas não planejadas. Essa conjuntura cria enorme demanda por soluções que integrem todos os dados de manutenção num único ponto de controle.</t>
  </si>
  <si>
    <t>Jeverson dranka</t>
  </si>
  <si>
    <t>Foco em eventos corporativos, atendendo empresas de médio e grande porte.</t>
  </si>
  <si>
    <t>Aline Stammerjohann</t>
  </si>
  <si>
    <t>Mercado têxtil, com atendimento de diversas frentes do segmento (aviamentos, acabamentos têxteis, tecidos, fornecedores de confecção e etc).</t>
  </si>
  <si>
    <t>Márcio Bele</t>
  </si>
  <si>
    <t>Comércio varejista de bebidas</t>
  </si>
  <si>
    <t>Ricardo Soares</t>
  </si>
  <si>
    <t>Inicialmente a intenção é atuar de Joinville até itapema, onde o mercado está aquecido e busca por soluções inteligentes. Porém a ideia é escalar para as demais regiões no Brasil após o 24º mês. Dessa forma, o GIO se posiciona como solução regional escalável, fortalecendo sua penetração em Santa Catarina e criando a base para expansão futura além de Itapema.</t>
  </si>
  <si>
    <t>Laudeneyde</t>
  </si>
  <si>
    <t>A maioria dos brasileiros não tem um controle satisfatório das próprias finanças, e mais de 80% dos que controlam ainda fazem no lápis e papel. Falta educação financeira e automatização dessa área tão importante da vida.</t>
  </si>
  <si>
    <t>Tony Maiky Bergamo Martins</t>
  </si>
  <si>
    <t>O Ecossistema EI atuará no mercado de mobilidade urbana digital, com foco no segmento de estacionamento inteligente, abrangendo soluções para o setor público (gestão de vagas rotativas), setor privado (reserva de vagas em estabelecimentos), economia compartilhada (aluguel de vagas ociosas) e intermediação imobiliária (compra e venda de vagas). Esse mercado une elementos do proptech, mobtech e marketplaces peer-to-peer, em um setor ainda altamente fragmentado, com baixa digitalização e enorme potencial de monetização e escala nas cidades brasileiras e, futuramente, em mercados semelhantes na América Latina e no mundo.</t>
  </si>
  <si>
    <t>Fernando Alberto Correa</t>
  </si>
  <si>
    <t>Industrias, linhas de produção</t>
  </si>
  <si>
    <t>Wellington de Brito Souza</t>
  </si>
  <si>
    <t>Ira atuar no consumidor final para comparação de produtos de grandes varejistas.</t>
  </si>
  <si>
    <t>Luis Nicaloski</t>
  </si>
  <si>
    <t>Toda e qualquer empresa com pelo menos 1 colaborador CLT</t>
  </si>
  <si>
    <t>SÉRGIO MURILO SAMPAIO</t>
  </si>
  <si>
    <t>O mercado do Bento Carteiro atua na área de comunicação afetiva e personalizada, entregando cartas e presentes com narrativa emocional. Atualmente, com potencial de expansão para eventos corporativos, datas comemorativas e ativações de marca em outras cidades, sempre valorizando o vínculo humano e a experiência sensível. UM NOVO MODO DE SE COMUNICAR.</t>
  </si>
  <si>
    <t>Thiago Henrique Eggert Karnopp</t>
  </si>
  <si>
    <t>Eduardo Luciano Paes</t>
  </si>
  <si>
    <t>Will Robson Pacheco dos Santos</t>
  </si>
  <si>
    <t>Maiara Nunes</t>
  </si>
  <si>
    <t>Maykon Roberto de souza</t>
  </si>
  <si>
    <t>Gustavo Krüger Neto</t>
  </si>
  <si>
    <t>Sabine Jackelinne Leguizamon</t>
  </si>
  <si>
    <t>Guilherme Pereira</t>
  </si>
  <si>
    <t>Cesar Miglioranzza</t>
  </si>
  <si>
    <t>Hannah Arndt</t>
  </si>
  <si>
    <t>Nanderson do Sacramento Pinto</t>
  </si>
  <si>
    <t>Calebe Celso Correa</t>
  </si>
  <si>
    <t>Pré-aceleradora</t>
  </si>
  <si>
    <t>Nº de Empresas Pré-Aceleradas (Não se aplica ao Centro de Inovação de Joinville)</t>
  </si>
  <si>
    <t>Lista (Não se aplica ao Centro de Inovação de Joinville)</t>
  </si>
  <si>
    <t>Quantidade de Colaboradores e/ou Sócios na Entrada</t>
  </si>
  <si>
    <t>Quantidade de Colaboradores e/ou Sócios na Saída</t>
  </si>
  <si>
    <t>Incubadora</t>
  </si>
  <si>
    <r>
      <rPr>
        <rFont val="Arial"/>
        <color theme="1"/>
        <sz val="9.0"/>
      </rPr>
      <t xml:space="preserve">Adotou Metodologia </t>
    </r>
    <r>
      <rPr>
        <rFont val="Arial"/>
        <b/>
        <color theme="1"/>
        <sz val="9.0"/>
      </rPr>
      <t>MIDITEC</t>
    </r>
    <r>
      <rPr>
        <rFont val="Arial"/>
        <color theme="1"/>
        <sz val="9.0"/>
      </rPr>
      <t>?</t>
    </r>
  </si>
  <si>
    <t>SIM</t>
  </si>
  <si>
    <t>Nº de Empresas Incubadas</t>
  </si>
  <si>
    <t>Mais i9</t>
  </si>
  <si>
    <t>Atualmente</t>
  </si>
  <si>
    <t>Empresa Ativa/ Validação</t>
  </si>
  <si>
    <t>Midihub</t>
  </si>
  <si>
    <t>tecnologia da informação</t>
  </si>
  <si>
    <t>R$54 235,72</t>
  </si>
  <si>
    <t>Reduz</t>
  </si>
  <si>
    <t>Empresa Ativa</t>
  </si>
  <si>
    <t>logística e transporte</t>
  </si>
  <si>
    <t>R$2 680,00</t>
  </si>
  <si>
    <t>Evous</t>
  </si>
  <si>
    <t>Empresa Ativa/ Geração de demanda</t>
  </si>
  <si>
    <t>R$557 528,00</t>
  </si>
  <si>
    <t>BD Analitycs</t>
  </si>
  <si>
    <t>R$21 120,00</t>
  </si>
  <si>
    <t>Autoponto</t>
  </si>
  <si>
    <t>R$232 683,12</t>
  </si>
  <si>
    <t>Hunterco</t>
  </si>
  <si>
    <t>R$365 463,00</t>
  </si>
  <si>
    <t>Aceleradora</t>
  </si>
  <si>
    <t>Nº de Empresas Aceleradas</t>
  </si>
  <si>
    <t>Indicafy</t>
  </si>
  <si>
    <t>Aceleradas</t>
  </si>
  <si>
    <t>Marketing</t>
  </si>
  <si>
    <t>não</t>
  </si>
  <si>
    <t>20 a 100 mil</t>
  </si>
  <si>
    <t>Tool Doctor</t>
  </si>
  <si>
    <t>Industrial</t>
  </si>
  <si>
    <t>Menos de 20 mil</t>
  </si>
  <si>
    <t>Nanobiocel</t>
  </si>
  <si>
    <t>Nanotecnologia</t>
  </si>
  <si>
    <t>sim</t>
  </si>
  <si>
    <t>100 mil a 500 mil</t>
  </si>
  <si>
    <t>Futuriza</t>
  </si>
  <si>
    <t>TeAjudo</t>
  </si>
  <si>
    <t>Empresas Residente</t>
  </si>
  <si>
    <t>Nº de Empresas Residentes</t>
  </si>
  <si>
    <t>Quantidade de Colaboradores e/ou Sócios na Entrada (Unidade do Ágora Tech Park)</t>
  </si>
  <si>
    <t>Quantidade de Colaboradores e/ou Sócios na Saída (Unidade do Ágora Tech Park)</t>
  </si>
  <si>
    <t>Whirpool S.A</t>
  </si>
  <si>
    <t>Locada</t>
  </si>
  <si>
    <t xml:space="preserve">UNI - Sala 102 </t>
  </si>
  <si>
    <t>Sim</t>
  </si>
  <si>
    <t xml:space="preserve">Mectrol do Brasil Comercial Ltda </t>
  </si>
  <si>
    <t>UNI - Sala 209</t>
  </si>
  <si>
    <t>Automação industrial e Robótica</t>
  </si>
  <si>
    <t>Não</t>
  </si>
  <si>
    <t xml:space="preserve">Culture Designer Desenvolvimento Humano e Organizacional Ltda </t>
  </si>
  <si>
    <t>UNI - Sala 201</t>
  </si>
  <si>
    <t xml:space="preserve">Consultoria Gestão Empresarial </t>
  </si>
  <si>
    <t xml:space="preserve">Allcon Consultores Associados Sociedade Simples </t>
  </si>
  <si>
    <t>HUB - Sala 316</t>
  </si>
  <si>
    <t xml:space="preserve">Consultoria </t>
  </si>
  <si>
    <t xml:space="preserve">Daher &amp; Jacob Advogados </t>
  </si>
  <si>
    <t>MOB - Sala 104</t>
  </si>
  <si>
    <t xml:space="preserve">Advocacia </t>
  </si>
  <si>
    <t>Retinox Importação e Exportação de Aços Inoxidáveis Ltda</t>
  </si>
  <si>
    <t>MOB - Sala 205</t>
  </si>
  <si>
    <t xml:space="preserve">Logística </t>
  </si>
  <si>
    <t>Herobase Ltda</t>
  </si>
  <si>
    <t>UNI - Sala 101</t>
  </si>
  <si>
    <t>Serviço</t>
  </si>
  <si>
    <t>Instituto Euvaldo Lodi de SC - Ielusc</t>
  </si>
  <si>
    <t>HUB - Sala 207A</t>
  </si>
  <si>
    <t xml:space="preserve">Strategicos Group Consultoria Empresarial </t>
  </si>
  <si>
    <t>HUB - Sala 204 e Sala 205</t>
  </si>
  <si>
    <t xml:space="preserve">O Quintal do Zé Hamburgueria </t>
  </si>
  <si>
    <t>MOB - Sala 111</t>
  </si>
  <si>
    <t xml:space="preserve">Alimentação </t>
  </si>
  <si>
    <t>GOWE Estratégica e Marketing Ltda</t>
  </si>
  <si>
    <t>MOB - Sala 102</t>
  </si>
  <si>
    <t xml:space="preserve">Marketing </t>
  </si>
  <si>
    <t xml:space="preserve">Bussola Corporativa </t>
  </si>
  <si>
    <t>UNI - Sala 302</t>
  </si>
  <si>
    <t>Educação Corporativo</t>
  </si>
  <si>
    <t>Schulz Compressores Ltda</t>
  </si>
  <si>
    <t>HUB - Sala 305</t>
  </si>
  <si>
    <t>Agile² Consultoria Ltda</t>
  </si>
  <si>
    <t>HUB - Sala 310</t>
  </si>
  <si>
    <t>Four Eight Café Joinville</t>
  </si>
  <si>
    <t>MOB - Sala C108 e Sala C109</t>
  </si>
  <si>
    <t>Rocha &amp; Rezende Cia Ltda</t>
  </si>
  <si>
    <t>MOB - Sala C110</t>
  </si>
  <si>
    <t>Calzoon</t>
  </si>
  <si>
    <t>MOB - Sala C114</t>
  </si>
  <si>
    <t>BMA Sistemas Ltda</t>
  </si>
  <si>
    <t>HUB - Sala 217</t>
  </si>
  <si>
    <t>Axe Tecnologia Ltda</t>
  </si>
  <si>
    <t>HUB - Sala 318</t>
  </si>
  <si>
    <t xml:space="preserve">Routech Tecnologia em Roteirização Ltda </t>
  </si>
  <si>
    <t>UNI - Sala 309</t>
  </si>
  <si>
    <t xml:space="preserve">Tecnologia </t>
  </si>
  <si>
    <t xml:space="preserve">Tecnihub Ltda </t>
  </si>
  <si>
    <t>UNI - Sala 204</t>
  </si>
  <si>
    <t>Planoinox</t>
  </si>
  <si>
    <t>MOB - Sala 210</t>
  </si>
  <si>
    <t xml:space="preserve">Importação e Exportação </t>
  </si>
  <si>
    <t xml:space="preserve">Truffer- Acabamentos de Peças Ind. </t>
  </si>
  <si>
    <t>UNI - Sala 405</t>
  </si>
  <si>
    <t xml:space="preserve">Peças Industriais </t>
  </si>
  <si>
    <t>SINDICATO DAS EMPRESAS DE PROCESSAMENTO DE DADOS E INFORMÁTICA DE JOINVILLE – COMMUNITECH</t>
  </si>
  <si>
    <t>HUB - Sala 202A</t>
  </si>
  <si>
    <t>WE4U Contabilidade Ltda</t>
  </si>
  <si>
    <t>HUB - Sala 203</t>
  </si>
  <si>
    <t>Financeiro- Contabilidade</t>
  </si>
  <si>
    <t>Térmica Solutions Engenharia Ltda</t>
  </si>
  <si>
    <t>HUB - Sala 311 e 312</t>
  </si>
  <si>
    <t>BFS Engenharia Ltda</t>
  </si>
  <si>
    <t>HUB - Sala 309</t>
  </si>
  <si>
    <t xml:space="preserve">Engenharia </t>
  </si>
  <si>
    <t>SF Santa Fé</t>
  </si>
  <si>
    <t>HUB - Sala 214 - 215 - 216</t>
  </si>
  <si>
    <t>Corretora de Seguros</t>
  </si>
  <si>
    <t>Inst. Da Ciência, Tecn., Pesq,. E Inovação Walbert</t>
  </si>
  <si>
    <t>UNI - Laboratório M01- 105</t>
  </si>
  <si>
    <t xml:space="preserve">Ferramentaria e Usinagem </t>
  </si>
  <si>
    <t xml:space="preserve">Qualisystems Serviços de Qualidade Ltda - Q-Assist Inteligência Artificial </t>
  </si>
  <si>
    <t>UNI - Sala 206</t>
  </si>
  <si>
    <t xml:space="preserve">Inteligência Artificial </t>
  </si>
  <si>
    <t>Crescimento ERP &amp; TI Ltda(Atena/Sankhya)</t>
  </si>
  <si>
    <t>MOB - Sala 214</t>
  </si>
  <si>
    <t xml:space="preserve">Wentz Vieira Sociedade Ind. De Advocacia </t>
  </si>
  <si>
    <t>MOB - Sala 204</t>
  </si>
  <si>
    <t>Ain Global Importação e Exportação Ltda</t>
  </si>
  <si>
    <t>UNI - Sala 401 - 402</t>
  </si>
  <si>
    <t xml:space="preserve">Lucas Eduardo Ferreira </t>
  </si>
  <si>
    <t>HUB - Sala 202B</t>
  </si>
  <si>
    <t xml:space="preserve">Rescanm 3D Digitalizações Especiais Ltda </t>
  </si>
  <si>
    <t>MOB - Sala 001</t>
  </si>
  <si>
    <t xml:space="preserve">Impressão 3D </t>
  </si>
  <si>
    <t>WTC Participações</t>
  </si>
  <si>
    <t>HUB - Sala 218</t>
  </si>
  <si>
    <t>LinkLab Acate</t>
  </si>
  <si>
    <t>HUB -  Sala 208, Sala 212 e Sala 213</t>
  </si>
  <si>
    <t xml:space="preserve">Yak Tractors Comércio e Serviços Ltda </t>
  </si>
  <si>
    <t>UNI - Sala 314</t>
  </si>
  <si>
    <t xml:space="preserve">Fábricação de Tratores </t>
  </si>
  <si>
    <t>Euax-Twygo Desenvolvimento de Sistemas Ltda</t>
  </si>
  <si>
    <t>UNI - Sala 207</t>
  </si>
  <si>
    <t>Tecnologia- Desenvolvimento e Licenciamento de Programas de Computador. </t>
  </si>
  <si>
    <t>SAG Indústria e Comércio de Equipamentos</t>
  </si>
  <si>
    <t>UNI - Sala 214</t>
  </si>
  <si>
    <t>Indústria e Comércio de Equipamentos</t>
  </si>
  <si>
    <t>Terra Natal Café Ltda</t>
  </si>
  <si>
    <t>UNI - Cafeteria</t>
  </si>
  <si>
    <t xml:space="preserve">Omunga Comércio do Vesturário Ltda. </t>
  </si>
  <si>
    <t>HUB - Sala 307</t>
  </si>
  <si>
    <t>Dale Pereira Assis- Zero Metrology</t>
  </si>
  <si>
    <t>HUB - Sala 201</t>
  </si>
  <si>
    <t>UNI	 Laboratório M01- 104</t>
  </si>
  <si>
    <t>Ágora Connect</t>
  </si>
  <si>
    <t>UNI- Sala Connect</t>
  </si>
  <si>
    <t>Coop. de Cred. Poup. Invest. Do Norte e Nordeste de SC- Sicredi Norte SC</t>
  </si>
  <si>
    <t>MOB - Sala 002, 003 e 201</t>
  </si>
  <si>
    <t xml:space="preserve">Financeiro- Cooperativa de Crédito </t>
  </si>
  <si>
    <t>CRMTHINK Soluções</t>
  </si>
  <si>
    <t>UNI Sala 301</t>
  </si>
  <si>
    <t>Tecnologia - Desenvolvimento e licenciamento de programas de computador</t>
  </si>
  <si>
    <t xml:space="preserve">Semente Consultoria em Negócios e Finanças </t>
  </si>
  <si>
    <t>UNI	 Sala 010</t>
  </si>
  <si>
    <t xml:space="preserve">Finanças e Consultoria </t>
  </si>
  <si>
    <t xml:space="preserve">Caminha Advogados </t>
  </si>
  <si>
    <t>UNI	 Sala 210</t>
  </si>
  <si>
    <t xml:space="preserve">Best Notebooks Indústria e Comércio de Equip. de Inf. </t>
  </si>
  <si>
    <t>UNI Sala 308-309-310</t>
  </si>
  <si>
    <t>Comércio Varejista de Equipamentos e Suprimentos de Informática</t>
  </si>
  <si>
    <t xml:space="preserve">Fuscaldo Advocacia - Gustavo Fuscaldo Couri </t>
  </si>
  <si>
    <t>UNI	 Sala 205</t>
  </si>
  <si>
    <t xml:space="preserve">Aurion produtora </t>
  </si>
  <si>
    <t>UNI	 Sala 304</t>
  </si>
  <si>
    <t>Tecnologia- Gravações esportivas</t>
  </si>
  <si>
    <t>Organa Biotech Soluções Ambientais Ltda</t>
  </si>
  <si>
    <t>UNI	 Sala 305</t>
  </si>
  <si>
    <t xml:space="preserve">Reserplastic Indústria E Comércio de Auto Peças Ltda  </t>
  </si>
  <si>
    <t>UNI	 Laboratório M04-107</t>
  </si>
  <si>
    <t>Sensus Tecnologia Ltda</t>
  </si>
  <si>
    <t>UNI Sala 310</t>
  </si>
  <si>
    <t>Fornecedor de Software</t>
  </si>
  <si>
    <t>StackX- Formatação Tecnologica</t>
  </si>
  <si>
    <t>UNI Sala 011</t>
  </si>
  <si>
    <t xml:space="preserve">Tecnologia- Formação de Desenvolveres de Software </t>
  </si>
  <si>
    <t>Stágio Ltda</t>
  </si>
  <si>
    <t>UNI Sala 403 - 404</t>
  </si>
  <si>
    <t>Join.valle</t>
  </si>
  <si>
    <t>HUB - Sala 319</t>
  </si>
  <si>
    <t>D. Rosa Café Ltda</t>
  </si>
  <si>
    <t>HUB - Sala A106-Cafeteria</t>
  </si>
  <si>
    <t>Hiugou Soluções Empresariais Ltda</t>
  </si>
  <si>
    <t>MOB Sala 202</t>
  </si>
  <si>
    <t>Cia Latino Americana de Medicamentos - Clamed</t>
  </si>
  <si>
    <t>MOB - Sala 401 B - Sala 401 A</t>
  </si>
  <si>
    <t>Saúde- Comércio de Medicamentos</t>
  </si>
  <si>
    <t xml:space="preserve">Pixida do Brasil Ltda </t>
  </si>
  <si>
    <t>MOB - Sala 106</t>
  </si>
  <si>
    <t xml:space="preserve">Schulz Compressores </t>
  </si>
  <si>
    <t>MOB - Sala 107</t>
  </si>
  <si>
    <t>Sterling Corporation Ltda</t>
  </si>
  <si>
    <t>MOB Sala 101</t>
  </si>
  <si>
    <t>Buhler &amp; Scherler S.A</t>
  </si>
  <si>
    <t>MOB - Sala 208</t>
  </si>
  <si>
    <t>Associação Brasileira da Ind. De Maq. E Equip- Abimaq</t>
  </si>
  <si>
    <t>HUB- Sala 210</t>
  </si>
  <si>
    <t>HUB - Sala 207B</t>
  </si>
  <si>
    <t xml:space="preserve">Educação </t>
  </si>
  <si>
    <t>Silva, Santana &amp; Teston Advogados</t>
  </si>
  <si>
    <t>HUB - Sala 315</t>
  </si>
  <si>
    <t xml:space="preserve">Macnica </t>
  </si>
  <si>
    <t>HUB - Sala 304</t>
  </si>
  <si>
    <t>Favorito Café &amp; Cozinha</t>
  </si>
  <si>
    <t>HUB - Sala A107 - Lanchonete 1 e Sala A108 - Lanchonete 2</t>
  </si>
  <si>
    <t>Martinelli Auditores</t>
  </si>
  <si>
    <t>MOB - Sala 203</t>
  </si>
  <si>
    <t>Fundação Softiville- Antigo Instituto Ágora</t>
  </si>
  <si>
    <t>HUB Sala 313 e 314</t>
  </si>
  <si>
    <t>Saintburger</t>
  </si>
  <si>
    <t>MOB Sala C112</t>
  </si>
  <si>
    <t>MOB Sala 301,  Sala 301, Sala 302, Sala 303, Sala 304, Sala 305, Sala 306, Sala 307, Sala 311, Sala 312, Sala 313, Sala 402, Sala 403</t>
  </si>
  <si>
    <t xml:space="preserve"> Sim </t>
  </si>
  <si>
    <t>HUB</t>
  </si>
  <si>
    <t>Unimed Santa Catarina</t>
  </si>
  <si>
    <t>UNI - Ágora.Connect</t>
  </si>
  <si>
    <t xml:space="preserve"> Não</t>
  </si>
  <si>
    <t>Nº de Grandes Empresas Apoiadas</t>
  </si>
  <si>
    <t>Nº de Desafios</t>
  </si>
  <si>
    <t>Nº de Soluções apresentadas</t>
  </si>
  <si>
    <t>Nº de Negócios Fechados</t>
  </si>
  <si>
    <t>Avell (CONNECT)</t>
  </si>
  <si>
    <t>Unimed (CONNECT)</t>
  </si>
  <si>
    <t>Pró-Rim (CONNECT)</t>
  </si>
  <si>
    <t>Walbert (CONNECT)</t>
  </si>
  <si>
    <t>Whirlpool (CONNECT)</t>
  </si>
  <si>
    <t>Pollux (CONNECT)</t>
  </si>
  <si>
    <t>Whirlpool (LINK LAB)</t>
  </si>
  <si>
    <t>Porto Itapoá (LINK LAB)</t>
  </si>
  <si>
    <t>Arcelor Mittal (LINK LAB)</t>
  </si>
  <si>
    <t>Diagnóstico do Centro</t>
  </si>
  <si>
    <t>Fase</t>
  </si>
  <si>
    <t>OPERAÇÃO</t>
  </si>
  <si>
    <t>Prédio / Instalações físicas</t>
  </si>
  <si>
    <t>ENTREGUE</t>
  </si>
  <si>
    <t>Lei de Inovação</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</si>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</sst>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yyyy"/>
    <numFmt numFmtId="165" formatCode="[$R$ -416]#,##0.00"/>
    <numFmt numFmtId="166" formatCode="dd/mm/yyyy"/>
    <numFmt numFmtId="167" formatCode="d/m/yyyy"/>
    <numFmt numFmtId="168" formatCode="dd/MM/yyyy"/>
    <numFmt numFmtId="169" formatCode="_-* #,##0.00_-;\-* #,##0.00_-;_-* &quot;-&quot;??_-;_-@"/>
    <numFmt numFmtId="170" formatCode="00#.0000"/>
  </numFmts>
  <fonts count="18">
    <font>
      <sz val="10.0"/>
      <color rgb="FF000000"/>
      <name val="Arial"/>
      <scheme val="minor"/>
    </font>
    <font>
      <b/>
      <sz val="11.0"/>
      <color theme="1"/>
      <name val="Arial"/>
    </font>
    <font>
      <b/>
      <sz val="9.0"/>
      <color theme="1"/>
      <name val="Arial"/>
    </font>
    <font>
      <sz val="11.0"/>
      <color theme="1"/>
      <name val="Arial"/>
    </font>
    <font>
      <sz val="9.0"/>
      <color theme="1"/>
      <name val="Arial"/>
    </font>
    <font>
      <color theme="1"/>
      <name val="Arial"/>
    </font>
    <font>
      <sz val="9.0"/>
      <color rgb="FF000000"/>
      <name val="Arial"/>
    </font>
    <font>
      <sz val="11.0"/>
      <color rgb="FF000000"/>
      <name val="Calibri"/>
    </font>
    <font>
      <sz val="9.0"/>
      <color theme="1"/>
      <name val="Arial"/>
      <scheme val="minor"/>
    </font>
    <font>
      <sz val="9.0"/>
      <color rgb="FF202124"/>
      <name val="Arial"/>
    </font>
    <font>
      <color theme="1"/>
      <name val="Arial"/>
      <scheme val="minor"/>
    </font>
    <font>
      <sz val="9.0"/>
      <color rgb="FF434343"/>
      <name val="Arial"/>
    </font>
    <font>
      <color rgb="FF434343"/>
      <name val="Roboto"/>
    </font>
    <font>
      <sz val="10.0"/>
      <color rgb="FF000000"/>
      <name val="Arial"/>
    </font>
    <font>
      <color rgb="FF000000"/>
      <name val="Arial"/>
    </font>
    <font>
      <color rgb="FF000000"/>
      <name val="Roboto"/>
    </font>
    <font>
      <sz val="9.0"/>
      <color theme="1"/>
      <name val="-apple-system"/>
    </font>
    <font>
      <sz val="9.0"/>
      <color rgb="FF000000"/>
      <name val="Calibri"/>
    </font>
  </fonts>
  <fills count="10">
    <fill>
      <patternFill patternType="none"/>
    </fill>
    <fill>
      <patternFill patternType="lightGray"/>
    </fill>
    <fill>
      <patternFill patternType="solid">
        <fgColor rgb="FF34A853"/>
        <bgColor rgb="FF34A853"/>
      </patternFill>
    </fill>
    <fill>
      <patternFill patternType="solid">
        <fgColor rgb="FFB6D7A8"/>
        <bgColor rgb="FFB6D7A8"/>
      </patternFill>
    </fill>
    <fill>
      <patternFill patternType="solid">
        <fgColor rgb="FFD9EAD3"/>
        <bgColor rgb="FFD9EAD3"/>
      </patternFill>
    </fill>
    <fill>
      <patternFill patternType="solid">
        <fgColor rgb="FFCCCCCC"/>
        <bgColor rgb="FFCCCCCC"/>
      </patternFill>
    </fill>
    <fill>
      <patternFill patternType="solid">
        <fgColor rgb="FFFFFFFF"/>
        <bgColor rgb="FFFFFFFF"/>
      </patternFill>
    </fill>
    <fill>
      <patternFill patternType="solid">
        <fgColor rgb="FFEFEFEF"/>
        <bgColor rgb="FFEFEFEF"/>
      </patternFill>
    </fill>
    <fill>
      <patternFill patternType="solid">
        <fgColor rgb="FFF8F9FA"/>
        <bgColor rgb="FFF8F9FA"/>
      </patternFill>
    </fill>
    <fill>
      <patternFill patternType="solid">
        <fgColor rgb="FFD9D9D9"/>
        <bgColor rgb="FFD9D9D9"/>
      </patternFill>
    </fill>
  </fills>
  <borders count="6">
    <border/>
    <border>
      <left/>
      <right/>
      <top/>
      <bottom/>
    </border>
    <border>
      <right/>
      <top/>
      <bottom/>
    </border>
    <border>
      <left/>
      <right/>
      <top/>
    </border>
    <border>
      <left/>
      <top/>
      <bottom/>
    </border>
    <border>
      <left/>
      <right/>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164" xfId="0" applyAlignment="1" applyFont="1" applyNumberFormat="1">
      <alignment horizontal="right" shrinkToFit="0" vertical="bottom" wrapText="0"/>
    </xf>
    <xf borderId="0" fillId="0" fontId="3" numFmtId="164" xfId="0" applyAlignment="1" applyFont="1" applyNumberFormat="1">
      <alignment shrinkToFit="0" vertical="bottom" wrapText="0"/>
    </xf>
    <xf borderId="0" fillId="0" fontId="2" numFmtId="164" xfId="0" applyAlignment="1" applyFont="1" applyNumberFormat="1">
      <alignment horizontal="right" vertical="bottom"/>
    </xf>
    <xf borderId="1" fillId="2" fontId="2" numFmtId="0" xfId="0" applyAlignment="1" applyBorder="1" applyFill="1" applyFont="1">
      <alignment horizontal="center" vertical="bottom"/>
    </xf>
    <xf borderId="1" fillId="3" fontId="2" numFmtId="0" xfId="0" applyAlignment="1" applyBorder="1" applyFill="1" applyFont="1">
      <alignment horizontal="center" shrinkToFit="0" vertical="bottom" wrapText="0"/>
    </xf>
    <xf borderId="0" fillId="0" fontId="4" numFmtId="0" xfId="0" applyAlignment="1" applyFont="1">
      <alignment shrinkToFit="0" vertical="bottom" wrapText="0"/>
    </xf>
    <xf borderId="1" fillId="4" fontId="4" numFmtId="0" xfId="0" applyAlignment="1" applyBorder="1" applyFill="1" applyFont="1">
      <alignment shrinkToFit="0" vertical="bottom" wrapText="0"/>
    </xf>
    <xf borderId="0" fillId="0" fontId="4" numFmtId="0" xfId="0" applyAlignment="1" applyFont="1">
      <alignment horizontal="right" vertical="bottom"/>
    </xf>
    <xf borderId="2" fillId="4" fontId="4" numFmtId="0" xfId="0" applyAlignment="1" applyBorder="1" applyFont="1">
      <alignment horizontal="right" vertical="bottom"/>
    </xf>
    <xf borderId="0" fillId="0" fontId="4" numFmtId="165" xfId="0" applyAlignment="1" applyFont="1" applyNumberFormat="1">
      <alignment horizontal="right" vertical="bottom"/>
    </xf>
    <xf borderId="2" fillId="4" fontId="5" numFmtId="0" xfId="0" applyAlignment="1" applyBorder="1" applyFont="1">
      <alignment horizontal="right" vertical="bottom"/>
    </xf>
    <xf borderId="0" fillId="0" fontId="5" numFmtId="0" xfId="0" applyAlignment="1" applyFont="1">
      <alignment horizontal="right" vertical="bottom"/>
    </xf>
    <xf borderId="0" fillId="0" fontId="4" numFmtId="0" xfId="0" applyAlignment="1" applyFont="1">
      <alignment horizontal="right" readingOrder="0" vertical="bottom"/>
    </xf>
    <xf borderId="1" fillId="4" fontId="5" numFmtId="0" xfId="0" applyAlignment="1" applyBorder="1" applyFont="1">
      <alignment horizontal="right" vertical="bottom"/>
    </xf>
    <xf borderId="1" fillId="4" fontId="4" numFmtId="0" xfId="0" applyAlignment="1" applyBorder="1" applyFont="1">
      <alignment horizontal="right" vertical="bottom"/>
    </xf>
    <xf borderId="0" fillId="0" fontId="5" numFmtId="0" xfId="0" applyAlignment="1" applyFont="1">
      <alignment horizontal="right" readingOrder="0" vertical="bottom"/>
    </xf>
    <xf borderId="0" fillId="0" fontId="4" numFmtId="0" xfId="0" applyAlignment="1" applyFont="1">
      <alignment readingOrder="0" shrinkToFit="0" vertical="bottom" wrapText="0"/>
    </xf>
    <xf borderId="0" fillId="0" fontId="6" numFmtId="165" xfId="0" applyAlignment="1" applyFont="1" applyNumberFormat="1">
      <alignment horizontal="right" readingOrder="0" shrinkToFit="0" vertical="bottom" wrapText="0"/>
    </xf>
    <xf borderId="1" fillId="4" fontId="4" numFmtId="165" xfId="0" applyAlignment="1" applyBorder="1" applyFont="1" applyNumberFormat="1">
      <alignment horizontal="right" vertical="bottom"/>
    </xf>
    <xf borderId="0" fillId="0" fontId="4" numFmtId="165" xfId="0" applyAlignment="1" applyFont="1" applyNumberFormat="1">
      <alignment horizontal="right" vertical="bottom"/>
    </xf>
    <xf borderId="0" fillId="0" fontId="5" numFmtId="165" xfId="0" applyAlignment="1" applyFont="1" applyNumberFormat="1">
      <alignment horizontal="right" vertical="bottom"/>
    </xf>
    <xf borderId="0" fillId="0" fontId="4" numFmtId="165" xfId="0" applyAlignment="1" applyFont="1" applyNumberFormat="1">
      <alignment horizontal="right" readingOrder="0" vertical="bottom"/>
    </xf>
    <xf borderId="0" fillId="0" fontId="7" numFmtId="165" xfId="0" applyAlignment="1" applyFont="1" applyNumberFormat="1">
      <alignment horizontal="right" readingOrder="0" shrinkToFit="0" vertical="bottom" wrapText="0"/>
    </xf>
    <xf borderId="0" fillId="0" fontId="6" numFmtId="3" xfId="0" applyAlignment="1" applyFont="1" applyNumberFormat="1">
      <alignment horizontal="right" readingOrder="0" shrinkToFit="0" vertical="bottom" wrapText="0"/>
    </xf>
    <xf borderId="0" fillId="0" fontId="8" numFmtId="0" xfId="0" applyFont="1"/>
    <xf borderId="1" fillId="3" fontId="4" numFmtId="0" xfId="0" applyAlignment="1" applyBorder="1" applyFont="1">
      <alignment shrinkToFit="0" vertical="bottom" wrapText="0"/>
    </xf>
    <xf borderId="0" fillId="0" fontId="5" numFmtId="165" xfId="0" applyAlignment="1" applyFont="1" applyNumberFormat="1">
      <alignment readingOrder="0" vertical="bottom"/>
    </xf>
    <xf borderId="1" fillId="5" fontId="2" numFmtId="0" xfId="0" applyAlignment="1" applyBorder="1" applyFill="1" applyFont="1">
      <alignment horizontal="center" shrinkToFit="0" vertical="bottom" wrapText="0"/>
    </xf>
    <xf borderId="1" fillId="5" fontId="2" numFmtId="165" xfId="0" applyAlignment="1" applyBorder="1" applyFont="1" applyNumberFormat="1">
      <alignment shrinkToFit="0" vertical="bottom" wrapText="0"/>
    </xf>
    <xf borderId="0" fillId="0" fontId="3" numFmtId="165" xfId="0" applyAlignment="1" applyFont="1" applyNumberFormat="1">
      <alignment shrinkToFit="0" vertical="bottom" wrapText="0"/>
    </xf>
    <xf borderId="0" fillId="0" fontId="4" numFmtId="9" xfId="0" applyAlignment="1" applyFont="1" applyNumberFormat="1">
      <alignment horizontal="right" vertical="bottom"/>
    </xf>
    <xf borderId="1" fillId="4" fontId="4" numFmtId="9" xfId="0" applyAlignment="1" applyBorder="1" applyFont="1" applyNumberFormat="1">
      <alignment horizontal="right" vertical="bottom"/>
    </xf>
    <xf borderId="0" fillId="0" fontId="5" numFmtId="0" xfId="0" applyAlignment="1" applyFont="1">
      <alignment vertical="bottom"/>
    </xf>
    <xf borderId="1" fillId="4" fontId="5" numFmtId="0" xfId="0" applyAlignment="1" applyBorder="1" applyFont="1">
      <alignment vertical="bottom"/>
    </xf>
    <xf borderId="0" fillId="0" fontId="4" numFmtId="0" xfId="0" applyAlignment="1" applyFont="1">
      <alignment readingOrder="0" vertical="bottom"/>
    </xf>
    <xf borderId="0" fillId="0" fontId="5" numFmtId="0" xfId="0" applyAlignment="1" applyFont="1">
      <alignment readingOrder="0" vertical="bottom"/>
    </xf>
    <xf borderId="1" fillId="5" fontId="2" numFmtId="165" xfId="0" applyAlignment="1" applyBorder="1" applyFont="1" applyNumberFormat="1">
      <alignment horizontal="right" vertical="bottom"/>
    </xf>
    <xf borderId="1" fillId="5" fontId="2" numFmtId="165" xfId="0" applyAlignment="1" applyBorder="1" applyFont="1" applyNumberFormat="1">
      <alignment horizontal="right" readingOrder="0" vertical="bottom"/>
    </xf>
    <xf borderId="3" fillId="3" fontId="4" numFmtId="0" xfId="0" applyAlignment="1" applyBorder="1" applyFont="1">
      <alignment shrinkToFit="0" vertical="bottom" wrapText="0"/>
    </xf>
    <xf borderId="4" fillId="5" fontId="2" numFmtId="165" xfId="0" applyAlignment="1" applyBorder="1" applyFont="1" applyNumberFormat="1">
      <alignment shrinkToFit="0" vertical="bottom" wrapText="0"/>
    </xf>
    <xf borderId="0" fillId="5" fontId="2" numFmtId="165" xfId="0" applyAlignment="1" applyFont="1" applyNumberFormat="1">
      <alignment horizontal="right" vertical="bottom"/>
    </xf>
    <xf borderId="2" fillId="5" fontId="2" numFmtId="165" xfId="0" applyAlignment="1" applyBorder="1" applyFont="1" applyNumberFormat="1">
      <alignment shrinkToFit="0" vertical="bottom" wrapText="0"/>
    </xf>
    <xf borderId="0" fillId="6" fontId="4" numFmtId="0" xfId="0" applyAlignment="1" applyFill="1" applyFont="1">
      <alignment horizontal="right" vertical="bottom"/>
    </xf>
    <xf borderId="0" fillId="0" fontId="4" numFmtId="0" xfId="0" applyAlignment="1" applyFont="1">
      <alignment vertical="bottom"/>
    </xf>
    <xf borderId="1" fillId="4" fontId="4" numFmtId="0" xfId="0" applyAlignment="1" applyBorder="1" applyFont="1">
      <alignment shrinkToFit="0" vertical="center" wrapText="0"/>
    </xf>
    <xf borderId="1" fillId="7" fontId="4" numFmtId="0" xfId="0" applyAlignment="1" applyBorder="1" applyFill="1" applyFont="1">
      <alignment shrinkToFit="0" vertical="bottom" wrapText="0"/>
    </xf>
    <xf borderId="1" fillId="5" fontId="2" numFmtId="0" xfId="0" applyAlignment="1" applyBorder="1" applyFont="1">
      <alignment horizontal="center" shrinkToFit="0" vertical="center" wrapText="0"/>
    </xf>
    <xf borderId="1" fillId="5" fontId="2" numFmtId="0" xfId="0" applyAlignment="1" applyBorder="1" applyFont="1">
      <alignment horizontal="center" shrinkToFit="0" vertical="center" wrapText="1"/>
    </xf>
    <xf borderId="1" fillId="5" fontId="2" numFmtId="0" xfId="0" applyAlignment="1" applyBorder="1" applyFont="1">
      <alignment shrinkToFit="0" vertical="bottom" wrapText="0"/>
    </xf>
    <xf borderId="0" fillId="0" fontId="3" numFmtId="0" xfId="0" applyAlignment="1" applyFont="1">
      <alignment shrinkToFit="0" vertical="bottom" wrapText="0"/>
    </xf>
    <xf borderId="0" fillId="0" fontId="4" numFmtId="0" xfId="0" applyAlignment="1" applyFont="1">
      <alignment horizontal="right" shrinkToFit="0" vertical="bottom" wrapText="1"/>
    </xf>
    <xf borderId="0" fillId="0" fontId="4" numFmtId="0" xfId="0" applyAlignment="1" applyFont="1">
      <alignment horizontal="right" readingOrder="0" shrinkToFit="0" vertical="top" wrapText="1"/>
    </xf>
    <xf borderId="0" fillId="0" fontId="4" numFmtId="166" xfId="0" applyAlignment="1" applyFont="1" applyNumberFormat="1">
      <alignment horizontal="right" vertical="bottom"/>
    </xf>
    <xf borderId="0" fillId="0" fontId="4" numFmtId="167" xfId="0" applyAlignment="1" applyFont="1" applyNumberFormat="1">
      <alignment horizontal="right" vertical="bottom"/>
    </xf>
    <xf quotePrefix="1" borderId="0" fillId="0" fontId="4" numFmtId="0" xfId="0" applyAlignment="1" applyFont="1">
      <alignment horizontal="right" vertical="bottom"/>
    </xf>
    <xf borderId="0" fillId="6" fontId="9" numFmtId="0" xfId="0" applyAlignment="1" applyFill="1" applyFont="1">
      <alignment horizontal="right" vertical="bottom"/>
    </xf>
    <xf borderId="0" fillId="6" fontId="4" numFmtId="0" xfId="0" applyAlignment="1" applyFont="1">
      <alignment horizontal="right" vertical="bottom"/>
    </xf>
    <xf borderId="0" fillId="6" fontId="4" numFmtId="0" xfId="0" applyAlignment="1" applyFont="1">
      <alignment horizontal="right" shrinkToFit="0" vertical="bottom" wrapText="1"/>
    </xf>
    <xf borderId="0" fillId="6" fontId="4" numFmtId="166" xfId="0" applyAlignment="1" applyFont="1" applyNumberFormat="1">
      <alignment horizontal="right" vertical="bottom"/>
    </xf>
    <xf borderId="0" fillId="0" fontId="4" numFmtId="166" xfId="0" applyAlignment="1" applyFont="1" applyNumberFormat="1">
      <alignment horizontal="right" readingOrder="0" vertical="bottom"/>
    </xf>
    <xf borderId="0" fillId="6" fontId="4" numFmtId="0" xfId="0" applyAlignment="1" applyFont="1">
      <alignment horizontal="right" readingOrder="0" shrinkToFit="0" vertical="bottom" wrapText="1"/>
    </xf>
    <xf borderId="0" fillId="6" fontId="4" numFmtId="0" xfId="0" applyAlignment="1" applyFont="1">
      <alignment horizontal="right" readingOrder="0" vertical="bottom"/>
    </xf>
    <xf borderId="0" fillId="6" fontId="4" numFmtId="0" xfId="0" applyAlignment="1" applyFont="1">
      <alignment horizontal="left" vertical="bottom"/>
    </xf>
    <xf borderId="0" fillId="6" fontId="4" numFmtId="166" xfId="0" applyAlignment="1" applyFont="1" applyNumberFormat="1">
      <alignment horizontal="right" readingOrder="0" shrinkToFit="0" vertical="bottom" wrapText="0"/>
    </xf>
    <xf borderId="0" fillId="6" fontId="4" numFmtId="0" xfId="0" applyAlignment="1" applyFont="1">
      <alignment horizontal="right" readingOrder="0" shrinkToFit="0" vertical="bottom" wrapText="0"/>
    </xf>
    <xf borderId="0" fillId="6" fontId="10" numFmtId="0" xfId="0" applyAlignment="1" applyFont="1">
      <alignment horizontal="right" readingOrder="0"/>
    </xf>
    <xf borderId="0" fillId="6" fontId="4" numFmtId="0" xfId="0" applyAlignment="1" applyFont="1">
      <alignment horizontal="center" shrinkToFit="0" vertical="bottom" wrapText="1"/>
    </xf>
    <xf borderId="0" fillId="6" fontId="4" numFmtId="166" xfId="0" applyAlignment="1" applyFont="1" applyNumberFormat="1">
      <alignment horizontal="left" vertical="bottom"/>
    </xf>
    <xf borderId="0" fillId="6" fontId="4" numFmtId="166" xfId="0" applyAlignment="1" applyFont="1" applyNumberFormat="1">
      <alignment horizontal="left" shrinkToFit="0" vertical="bottom" wrapText="0"/>
    </xf>
    <xf borderId="0" fillId="6" fontId="4" numFmtId="0" xfId="0" applyAlignment="1" applyFont="1">
      <alignment horizontal="right" shrinkToFit="0" vertical="bottom" wrapText="0"/>
    </xf>
    <xf borderId="0" fillId="6" fontId="4" numFmtId="0" xfId="0" applyAlignment="1" applyFont="1">
      <alignment horizontal="center" shrinkToFit="0" vertical="bottom" wrapText="0"/>
    </xf>
    <xf borderId="0" fillId="6" fontId="4" numFmtId="168" xfId="0" applyAlignment="1" applyFont="1" applyNumberFormat="1">
      <alignment horizontal="right" vertical="bottom"/>
    </xf>
    <xf borderId="0" fillId="6" fontId="4" numFmtId="0" xfId="0" applyAlignment="1" applyFont="1">
      <alignment horizontal="center" vertical="bottom"/>
    </xf>
    <xf borderId="0" fillId="6" fontId="4" numFmtId="0" xfId="0" applyAlignment="1" applyFont="1">
      <alignment horizontal="left" readingOrder="0" vertical="bottom"/>
    </xf>
    <xf borderId="0" fillId="6" fontId="4" numFmtId="166" xfId="0" applyAlignment="1" applyFont="1" applyNumberFormat="1">
      <alignment horizontal="right" shrinkToFit="0" vertical="bottom" wrapText="0"/>
    </xf>
    <xf borderId="0" fillId="6" fontId="4" numFmtId="0" xfId="0" applyAlignment="1" applyFont="1">
      <alignment horizontal="center" readingOrder="0" shrinkToFit="0" vertical="bottom" wrapText="0"/>
    </xf>
    <xf borderId="0" fillId="6" fontId="11" numFmtId="0" xfId="0" applyAlignment="1" applyFont="1">
      <alignment horizontal="center" shrinkToFit="0" vertical="bottom" wrapText="1"/>
    </xf>
    <xf borderId="0" fillId="6" fontId="4" numFmtId="0" xfId="0" applyAlignment="1" applyFont="1">
      <alignment horizontal="center" readingOrder="0" shrinkToFit="0" vertical="bottom" wrapText="1"/>
    </xf>
    <xf borderId="0" fillId="6" fontId="4" numFmtId="166" xfId="0" applyAlignment="1" applyFont="1" applyNumberFormat="1">
      <alignment horizontal="right" readingOrder="0" vertical="bottom"/>
    </xf>
    <xf borderId="0" fillId="8" fontId="12" numFmtId="0" xfId="0" applyAlignment="1" applyFill="1" applyFont="1">
      <alignment horizontal="right" shrinkToFit="0" wrapText="0"/>
    </xf>
    <xf borderId="0" fillId="6" fontId="4" numFmtId="0" xfId="0" applyAlignment="1" applyFont="1">
      <alignment horizontal="left" shrinkToFit="0" vertical="bottom" wrapText="0"/>
    </xf>
    <xf borderId="0" fillId="6" fontId="4" numFmtId="168" xfId="0" applyAlignment="1" applyFont="1" applyNumberFormat="1">
      <alignment horizontal="right" shrinkToFit="0" vertical="bottom" wrapText="0"/>
    </xf>
    <xf borderId="0" fillId="6" fontId="4" numFmtId="0" xfId="0" applyAlignment="1" applyFont="1">
      <alignment horizontal="left" readingOrder="0" shrinkToFit="0" vertical="bottom" wrapText="0"/>
    </xf>
    <xf borderId="0" fillId="6" fontId="4" numFmtId="168" xfId="0" applyAlignment="1" applyFont="1" applyNumberFormat="1">
      <alignment horizontal="right" readingOrder="0" vertical="bottom"/>
    </xf>
    <xf borderId="0" fillId="6" fontId="6" numFmtId="0" xfId="0" applyAlignment="1" applyFont="1">
      <alignment horizontal="left" shrinkToFit="0" vertical="bottom" wrapText="0"/>
    </xf>
    <xf borderId="0" fillId="6" fontId="6" numFmtId="168" xfId="0" applyAlignment="1" applyFont="1" applyNumberFormat="1">
      <alignment horizontal="right" shrinkToFit="0" vertical="bottom" wrapText="0"/>
    </xf>
    <xf borderId="0" fillId="6" fontId="6" numFmtId="0" xfId="0" applyAlignment="1" applyFont="1">
      <alignment horizontal="right" shrinkToFit="0" vertical="bottom" wrapText="0"/>
    </xf>
    <xf borderId="0" fillId="6" fontId="6" numFmtId="0" xfId="0" applyAlignment="1" applyFont="1">
      <alignment horizontal="right" shrinkToFit="0" wrapText="0"/>
    </xf>
    <xf borderId="0" fillId="6" fontId="6" numFmtId="0" xfId="0" applyAlignment="1" applyFont="1">
      <alignment horizontal="center" shrinkToFit="0" vertical="bottom" wrapText="1"/>
    </xf>
    <xf borderId="0" fillId="6" fontId="6" numFmtId="0" xfId="0" applyAlignment="1" applyFont="1">
      <alignment horizontal="right" shrinkToFit="0" wrapText="0"/>
    </xf>
    <xf borderId="0" fillId="6" fontId="6" numFmtId="0" xfId="0" applyAlignment="1" applyFont="1">
      <alignment horizontal="right" readingOrder="0" shrinkToFit="0" vertical="bottom" wrapText="0"/>
    </xf>
    <xf borderId="0" fillId="6" fontId="6" numFmtId="0" xfId="0" applyAlignment="1" applyFont="1">
      <alignment horizontal="left" readingOrder="0" shrinkToFit="0" vertical="bottom" wrapText="0"/>
    </xf>
    <xf borderId="0" fillId="6" fontId="6" numFmtId="168" xfId="0" applyAlignment="1" applyFont="1" applyNumberFormat="1">
      <alignment horizontal="right" readingOrder="0" shrinkToFit="0" vertical="bottom" wrapText="0"/>
    </xf>
    <xf borderId="0" fillId="6" fontId="6" numFmtId="0" xfId="0" applyAlignment="1" applyFont="1">
      <alignment horizontal="right" readingOrder="0" shrinkToFit="0" wrapText="0"/>
    </xf>
    <xf borderId="0" fillId="6" fontId="6" numFmtId="0" xfId="0" applyAlignment="1" applyFont="1">
      <alignment horizontal="right" readingOrder="0" shrinkToFit="0" wrapText="0"/>
    </xf>
    <xf borderId="0" fillId="6" fontId="4" numFmtId="0" xfId="0" applyAlignment="1" applyFont="1">
      <alignment horizontal="right" vertical="bottom"/>
    </xf>
    <xf borderId="0" fillId="6" fontId="6" numFmtId="0" xfId="0" applyAlignment="1" applyFont="1">
      <alignment shrinkToFit="0" vertical="bottom" wrapText="0"/>
    </xf>
    <xf borderId="0" fillId="6" fontId="6" numFmtId="0" xfId="0" applyAlignment="1" applyFont="1">
      <alignment horizontal="right" readingOrder="0"/>
    </xf>
    <xf borderId="0" fillId="6" fontId="6" numFmtId="0" xfId="0" applyAlignment="1" applyFont="1">
      <alignment horizontal="left" vertical="bottom"/>
    </xf>
    <xf borderId="0" fillId="6" fontId="6" numFmtId="0" xfId="0" applyAlignment="1" applyFont="1">
      <alignment horizontal="right" vertical="bottom"/>
    </xf>
    <xf borderId="0" fillId="6" fontId="6" numFmtId="0" xfId="0" applyAlignment="1" applyFont="1">
      <alignment horizontal="right" vertical="bottom"/>
    </xf>
    <xf borderId="0" fillId="6" fontId="6" numFmtId="0" xfId="0" applyAlignment="1" applyFont="1">
      <alignment readingOrder="0" shrinkToFit="0" vertical="bottom" wrapText="0"/>
    </xf>
    <xf borderId="0" fillId="6" fontId="6" numFmtId="0" xfId="0" applyAlignment="1" applyFont="1">
      <alignment horizontal="right" shrinkToFit="0" vertical="bottom" wrapText="0"/>
    </xf>
    <xf borderId="0" fillId="6" fontId="6" numFmtId="0" xfId="0" applyAlignment="1" applyFont="1">
      <alignment horizontal="center" shrinkToFit="0" vertical="bottom" wrapText="0"/>
    </xf>
    <xf borderId="0" fillId="6" fontId="6" numFmtId="0" xfId="0" applyAlignment="1" applyFont="1">
      <alignment horizontal="right" shrinkToFit="0" vertical="bottom" wrapText="0"/>
    </xf>
    <xf borderId="0" fillId="6" fontId="13" numFmtId="0" xfId="0" applyAlignment="1" applyFont="1">
      <alignment horizontal="right" vertical="bottom"/>
    </xf>
    <xf borderId="0" fillId="6" fontId="14" numFmtId="0" xfId="0" applyAlignment="1" applyFont="1">
      <alignment horizontal="right" shrinkToFit="0" vertical="bottom" wrapText="0"/>
    </xf>
    <xf borderId="0" fillId="6" fontId="15" numFmtId="0" xfId="0" applyAlignment="1" applyFont="1">
      <alignment horizontal="right" shrinkToFit="0" wrapText="0"/>
    </xf>
    <xf borderId="0" fillId="6" fontId="15" numFmtId="0" xfId="0" applyAlignment="1" applyFont="1">
      <alignment horizontal="right" readingOrder="0" shrinkToFit="0" wrapText="0"/>
    </xf>
    <xf borderId="0" fillId="6" fontId="4" numFmtId="0" xfId="0" applyAlignment="1" applyFont="1">
      <alignment vertical="bottom"/>
    </xf>
    <xf borderId="0" fillId="6" fontId="14" numFmtId="0" xfId="0" applyAlignment="1" applyFont="1">
      <alignment horizontal="right" readingOrder="0" shrinkToFit="0" vertical="bottom" wrapText="0"/>
    </xf>
    <xf borderId="0" fillId="6" fontId="15" numFmtId="0" xfId="0" applyAlignment="1" applyFont="1">
      <alignment horizontal="right" readingOrder="0" shrinkToFit="0" wrapText="0"/>
    </xf>
    <xf borderId="5" fillId="3" fontId="4" numFmtId="0" xfId="0" applyAlignment="1" applyBorder="1" applyFont="1">
      <alignment shrinkToFit="0" vertical="bottom" wrapText="0"/>
    </xf>
    <xf borderId="1" fillId="4" fontId="4" numFmtId="0" xfId="0" applyAlignment="1" applyBorder="1" applyFont="1">
      <alignment readingOrder="0" shrinkToFit="0" vertical="bottom" wrapText="0"/>
    </xf>
    <xf borderId="1" fillId="9" fontId="2" numFmtId="0" xfId="0" applyAlignment="1" applyBorder="1" applyFill="1" applyFont="1">
      <alignment horizontal="center" shrinkToFit="0" vertical="center" wrapText="0"/>
    </xf>
    <xf borderId="1" fillId="9" fontId="2" numFmtId="0" xfId="0" applyAlignment="1" applyBorder="1" applyFont="1">
      <alignment horizontal="center" shrinkToFit="0" vertical="center" wrapText="1"/>
    </xf>
    <xf borderId="1" fillId="9" fontId="2" numFmtId="0" xfId="0" applyAlignment="1" applyBorder="1" applyFont="1">
      <alignment horizontal="center" readingOrder="0" shrinkToFit="0" vertical="center" wrapText="1"/>
    </xf>
    <xf borderId="1" fillId="9" fontId="2" numFmtId="0" xfId="0" applyAlignment="1" applyBorder="1" applyFont="1">
      <alignment shrinkToFit="0" vertical="bottom" wrapText="0"/>
    </xf>
    <xf borderId="0" fillId="0" fontId="4" numFmtId="168" xfId="0" applyAlignment="1" applyFont="1" applyNumberFormat="1">
      <alignment horizontal="right" vertical="bottom"/>
    </xf>
    <xf borderId="1" fillId="5" fontId="2" numFmtId="0" xfId="0" applyAlignment="1" applyBorder="1" applyFont="1">
      <alignment horizontal="center" readingOrder="0" shrinkToFit="0" vertical="center" wrapText="0"/>
    </xf>
    <xf borderId="0" fillId="0" fontId="4" numFmtId="0" xfId="0" applyAlignment="1" applyFont="1">
      <alignment horizontal="right" readingOrder="0" shrinkToFit="0" vertical="bottom" wrapText="0"/>
    </xf>
    <xf borderId="3" fillId="5" fontId="2" numFmtId="0" xfId="0" applyAlignment="1" applyBorder="1" applyFont="1">
      <alignment horizontal="center" shrinkToFit="0" vertical="center" wrapText="1"/>
    </xf>
    <xf borderId="0" fillId="0" fontId="16" numFmtId="0" xfId="0" applyAlignment="1" applyFont="1">
      <alignment horizontal="right" vertical="bottom"/>
    </xf>
    <xf borderId="1" fillId="5" fontId="2" numFmtId="0" xfId="0" applyAlignment="1" applyBorder="1" applyFont="1">
      <alignment horizontal="center" readingOrder="0" shrinkToFit="0" vertical="center" wrapText="1"/>
    </xf>
    <xf borderId="0" fillId="6" fontId="4" numFmtId="169" xfId="0" applyAlignment="1" applyFont="1" applyNumberFormat="1">
      <alignment shrinkToFit="0" vertical="bottom" wrapText="1"/>
    </xf>
    <xf borderId="0" fillId="6" fontId="4" numFmtId="168" xfId="0" applyAlignment="1" applyFont="1" applyNumberFormat="1">
      <alignment horizontal="right" shrinkToFit="0" vertical="bottom" wrapText="1"/>
    </xf>
    <xf borderId="0" fillId="0" fontId="4" numFmtId="165" xfId="0" applyAlignment="1" applyFont="1" applyNumberFormat="1">
      <alignment readingOrder="0" vertical="bottom"/>
    </xf>
    <xf borderId="0" fillId="6" fontId="6" numFmtId="165" xfId="0" applyAlignment="1" applyFont="1" applyNumberFormat="1">
      <alignment readingOrder="0"/>
    </xf>
    <xf borderId="0" fillId="0" fontId="4" numFmtId="165" xfId="0" applyAlignment="1" applyFont="1" applyNumberFormat="1">
      <alignment vertical="bottom"/>
    </xf>
    <xf borderId="0" fillId="6" fontId="4" numFmtId="169" xfId="0" applyAlignment="1" applyFont="1" applyNumberFormat="1">
      <alignment readingOrder="0" shrinkToFit="0" vertical="bottom" wrapText="1"/>
    </xf>
    <xf borderId="0" fillId="6" fontId="4" numFmtId="49" xfId="0" applyAlignment="1" applyFont="1" applyNumberFormat="1">
      <alignment horizontal="right" vertical="bottom"/>
    </xf>
    <xf borderId="0" fillId="6" fontId="17" numFmtId="165" xfId="0" applyAlignment="1" applyFont="1" applyNumberFormat="1">
      <alignment readingOrder="0"/>
    </xf>
    <xf borderId="0" fillId="6" fontId="4" numFmtId="169" xfId="0" applyAlignment="1" applyFont="1" applyNumberFormat="1">
      <alignment vertical="bottom"/>
    </xf>
    <xf borderId="0" fillId="6" fontId="4" numFmtId="169" xfId="0" applyAlignment="1" applyFont="1" applyNumberFormat="1">
      <alignment shrinkToFit="0" wrapText="1"/>
    </xf>
    <xf borderId="0" fillId="6" fontId="4" numFmtId="168" xfId="0" applyAlignment="1" applyFont="1" applyNumberFormat="1">
      <alignment horizontal="right" readingOrder="0" shrinkToFit="0" wrapText="1"/>
    </xf>
    <xf borderId="0" fillId="6" fontId="4" numFmtId="169" xfId="0" applyAlignment="1" applyFont="1" applyNumberFormat="1">
      <alignment readingOrder="0" vertical="bottom"/>
    </xf>
    <xf borderId="0" fillId="6" fontId="4" numFmtId="49" xfId="0" applyAlignment="1" applyFont="1" applyNumberFormat="1">
      <alignment horizontal="right" readingOrder="0" vertical="bottom"/>
    </xf>
    <xf borderId="0" fillId="6" fontId="4" numFmtId="169" xfId="0" applyAlignment="1" applyFont="1" applyNumberFormat="1">
      <alignment vertical="center"/>
    </xf>
    <xf borderId="0" fillId="6" fontId="6" numFmtId="168" xfId="0" applyAlignment="1" applyFont="1" applyNumberFormat="1">
      <alignment horizontal="right"/>
    </xf>
    <xf borderId="0" fillId="6" fontId="6" numFmtId="168" xfId="0" applyAlignment="1" applyFont="1" applyNumberFormat="1">
      <alignment horizontal="right" shrinkToFit="0" wrapText="1"/>
    </xf>
    <xf borderId="0" fillId="6" fontId="4" numFmtId="170" xfId="0" applyAlignment="1" applyFont="1" applyNumberFormat="1">
      <alignment horizontal="right" readingOrder="0" vertical="bottom"/>
    </xf>
    <xf borderId="0" fillId="6" fontId="4" numFmtId="168" xfId="0" applyAlignment="1" applyFont="1" applyNumberFormat="1">
      <alignment horizontal="right" shrinkToFit="0" wrapText="1"/>
    </xf>
    <xf borderId="0" fillId="0" fontId="7" numFmtId="0" xfId="0" applyAlignment="1" applyFont="1">
      <alignment horizontal="right" readingOrder="0" shrinkToFit="0" vertical="bottom" wrapText="0"/>
    </xf>
    <xf borderId="0" fillId="0" fontId="17" numFmtId="165" xfId="0" applyAlignment="1" applyFont="1" applyNumberFormat="1">
      <alignment horizontal="right" readingOrder="0" shrinkToFit="0" vertical="bottom" wrapText="0"/>
    </xf>
    <xf borderId="0" fillId="6" fontId="4" numFmtId="170" xfId="0" applyAlignment="1" applyFont="1" applyNumberFormat="1">
      <alignment horizontal="right" vertical="bottom"/>
    </xf>
    <xf borderId="0" fillId="6" fontId="7" numFmtId="0" xfId="0" applyAlignment="1" applyFont="1">
      <alignment horizontal="right" readingOrder="0" shrinkToFit="0" vertical="bottom" wrapText="0"/>
    </xf>
    <xf borderId="0" fillId="6" fontId="17" numFmtId="165" xfId="0" applyAlignment="1" applyFont="1" applyNumberFormat="1">
      <alignment horizontal="right" readingOrder="0" shrinkToFit="0" vertical="bottom" wrapText="0"/>
    </xf>
    <xf borderId="0" fillId="0" fontId="6" numFmtId="165" xfId="0" applyAlignment="1" applyFont="1" applyNumberFormat="1">
      <alignment horizontal="right" readingOrder="0" shrinkToFit="0" vertical="bottom" wrapText="0"/>
    </xf>
    <xf borderId="0" fillId="6" fontId="4" numFmtId="0" xfId="0" applyAlignment="1" applyFont="1">
      <alignment readingOrder="0" vertical="bottom"/>
    </xf>
    <xf borderId="0" fillId="6" fontId="4" numFmtId="165" xfId="0" applyAlignment="1" applyFont="1" applyNumberFormat="1">
      <alignment readingOrder="0" vertical="bottom"/>
    </xf>
    <xf borderId="0" fillId="6" fontId="4" numFmtId="165" xfId="0" applyAlignment="1" applyFont="1" applyNumberFormat="1">
      <alignment horizontal="right" vertical="bottom"/>
    </xf>
    <xf borderId="0" fillId="6" fontId="6" numFmtId="165" xfId="0" applyAlignment="1" applyFont="1" applyNumberFormat="1">
      <alignment horizontal="right" readingOrder="0" shrinkToFit="0" vertical="bottom" wrapText="0"/>
    </xf>
    <xf borderId="0" fillId="6" fontId="4" numFmtId="168" xfId="0" applyAlignment="1" applyFont="1" applyNumberFormat="1">
      <alignment horizontal="right" readingOrder="0" shrinkToFit="0" vertical="bottom" wrapText="1"/>
    </xf>
    <xf borderId="0" fillId="6" fontId="4" numFmtId="169" xfId="0" applyAlignment="1" applyFont="1" applyNumberFormat="1">
      <alignment horizontal="left" vertical="bottom"/>
    </xf>
    <xf borderId="0" fillId="6" fontId="6" numFmtId="0" xfId="0" applyAlignment="1" applyFont="1">
      <alignment horizontal="right" readingOrder="0"/>
    </xf>
    <xf borderId="0" fillId="6" fontId="4" numFmtId="165" xfId="0" applyAlignment="1" applyFont="1" applyNumberFormat="1">
      <alignment horizontal="right" readingOrder="0" vertical="bottom"/>
    </xf>
    <xf borderId="0" fillId="6" fontId="4" numFmtId="169" xfId="0" applyAlignment="1" applyFont="1" applyNumberFormat="1">
      <alignment readingOrder="0" shrinkToFit="0" wrapText="1"/>
    </xf>
    <xf borderId="0" fillId="6" fontId="6" numFmtId="0" xfId="0" applyAlignment="1" applyFont="1">
      <alignment horizontal="right" readingOrder="0" shrinkToFit="0" vertical="bottom" wrapText="0"/>
    </xf>
    <xf borderId="0" fillId="6" fontId="4" numFmtId="168" xfId="0" applyAlignment="1" applyFont="1" applyNumberFormat="1">
      <alignment horizontal="right"/>
    </xf>
    <xf borderId="0" fillId="0" fontId="10" numFmtId="0" xfId="0" applyAlignment="1" applyFont="1">
      <alignment horizontal="right" readingOrder="0"/>
    </xf>
    <xf borderId="0" fillId="6" fontId="4" numFmtId="169" xfId="0" applyAlignment="1" applyFont="1" applyNumberFormat="1">
      <alignment horizontal="right" readingOrder="0" shrinkToFit="0" vertical="bottom" wrapText="1"/>
    </xf>
    <xf borderId="0" fillId="6" fontId="6" numFmtId="169" xfId="0" applyAlignment="1" applyFont="1" applyNumberFormat="1">
      <alignment horizontal="right" readingOrder="0" shrinkToFit="0" vertical="bottom" wrapText="1"/>
    </xf>
    <xf borderId="0" fillId="6" fontId="4" numFmtId="0" xfId="0" applyAlignment="1" applyFont="1">
      <alignment horizontal="right" vertical="bottom"/>
    </xf>
    <xf borderId="0" fillId="6" fontId="6" numFmtId="0" xfId="0" applyAlignment="1" applyFont="1">
      <alignment horizontal="right" readingOrder="0" vertical="bottom"/>
    </xf>
    <xf borderId="5" fillId="3" fontId="2" numFmtId="0" xfId="0" applyAlignment="1" applyBorder="1" applyFont="1">
      <alignment horizontal="center" shrinkToFit="0" vertical="bottom" wrapText="0"/>
    </xf>
    <xf borderId="1" fillId="5" fontId="2" numFmtId="0" xfId="0" applyAlignment="1" applyBorder="1" applyFont="1">
      <alignment shrinkToFit="0" vertical="center" wrapText="1"/>
    </xf>
    <xf borderId="0" fillId="0" fontId="4" numFmtId="0" xfId="0" applyFont="1"/>
    <xf borderId="0" fillId="0" fontId="13" numFmtId="0" xfId="0" applyAlignment="1" applyFont="1">
      <alignment shrinkToFit="0" vertical="bottom" wrapText="0"/>
    </xf>
    <xf borderId="0" fillId="0" fontId="10" numFmtId="0" xfId="0" applyAlignment="1" applyFont="1">
      <alignment readingOrder="0"/>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F6F8F9"/>
          <bgColor rgb="FFF6F8F9"/>
        </patternFill>
      </fill>
      <border/>
    </dxf>
  </dxfs>
  <tableStyles count="5">
    <tableStyle count="2" pivot="0" name="CI JOINVILLE-style">
      <tableStyleElement dxfId="1" type="firstRowStripe"/>
      <tableStyleElement dxfId="2" type="secondRowStripe"/>
    </tableStyle>
    <tableStyle count="2" pivot="0" name="CI JOINVILLE-style 2">
      <tableStyleElement dxfId="3" type="firstRowStripe"/>
      <tableStyleElement dxfId="1" type="secondRowStripe"/>
    </tableStyle>
    <tableStyle count="2" pivot="0" name="CI JOINVILLE-style 3">
      <tableStyleElement dxfId="1" type="firstRowStripe"/>
      <tableStyleElement dxfId="2" type="secondRowStripe"/>
    </tableStyle>
    <tableStyle count="2" pivot="0" name="CI JOINVILLE-style 4">
      <tableStyleElement dxfId="1" type="firstRowStripe"/>
      <tableStyleElement dxfId="2" type="secondRowStripe"/>
    </tableStyle>
    <tableStyle count="2" pivot="0" name="CI JOINVILLE-style 5">
      <tableStyleElement dxfId="1"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F73:I77" displayName="Table_1" name="Table_1" id="1">
  <tableColumns count="4">
    <tableColumn name="Column1" id="1"/>
    <tableColumn name="Column2" id="2"/>
    <tableColumn name="Column3" id="3"/>
    <tableColumn name="Column4" id="4"/>
  </tableColumns>
  <tableStyleInfo name="CI JOINVILLE-style" showColumnStripes="0" showFirstColumn="1" showLastColumn="1" showRowStripes="1"/>
</table>
</file>

<file path=xl/tables/table2.xml><?xml version="1.0" encoding="utf-8"?>
<table xmlns="http://schemas.openxmlformats.org/spreadsheetml/2006/main" headerRowCount="0" ref="A81:H81" displayName="Table_2" name="Table_2"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CI JOINVILLE-style 2" showColumnStripes="0" showFirstColumn="1" showLastColumn="1" showRowStripes="1"/>
</table>
</file>

<file path=xl/tables/table3.xml><?xml version="1.0" encoding="utf-8"?>
<table xmlns="http://schemas.openxmlformats.org/spreadsheetml/2006/main" headerRowCount="0" ref="F82:I82" displayName="Table_3" name="Table_3" id="3">
  <tableColumns count="4">
    <tableColumn name="Column1" id="1"/>
    <tableColumn name="Column2" id="2"/>
    <tableColumn name="Column3" id="3"/>
    <tableColumn name="Column4" id="4"/>
  </tableColumns>
  <tableStyleInfo name="CI JOINVILLE-style 3" showColumnStripes="0" showFirstColumn="1" showLastColumn="1" showRowStripes="1"/>
</table>
</file>

<file path=xl/tables/table4.xml><?xml version="1.0" encoding="utf-8"?>
<table xmlns="http://schemas.openxmlformats.org/spreadsheetml/2006/main" headerRowCount="0" ref="F83:I84" displayName="Table_4" name="Table_4" id="4">
  <tableColumns count="4">
    <tableColumn name="Column1" id="1"/>
    <tableColumn name="Column2" id="2"/>
    <tableColumn name="Column3" id="3"/>
    <tableColumn name="Column4" id="4"/>
  </tableColumns>
  <tableStyleInfo name="CI JOINVILLE-style 4" showColumnStripes="0" showFirstColumn="1" showLastColumn="1" showRowStripes="1"/>
</table>
</file>

<file path=xl/tables/table5.xml><?xml version="1.0" encoding="utf-8"?>
<table xmlns="http://schemas.openxmlformats.org/spreadsheetml/2006/main" headerRowCount="0" ref="A92:M721" displayName="Table_5" name="Table_5" id="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I JOINVILLE-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5.xml"/><Relationship Id="rId10" Type="http://schemas.openxmlformats.org/officeDocument/2006/relationships/table" Target="../tables/table4.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58.75"/>
    <col customWidth="1" min="2" max="2" width="26.75"/>
    <col customWidth="1" min="3" max="3" width="38.0"/>
    <col customWidth="1" min="4" max="4" width="57.13"/>
    <col customWidth="1" min="5" max="5" width="114.38"/>
    <col customWidth="1" min="6" max="6" width="111.13"/>
    <col customWidth="1" min="7" max="7" width="205.88"/>
    <col customWidth="1" min="8" max="8" width="40.38"/>
    <col customWidth="1" min="9" max="9" width="38.75"/>
    <col customWidth="1" min="10" max="10" width="17.63"/>
    <col customWidth="1" min="11" max="11" width="22.5"/>
    <col customWidth="1" min="12" max="12" width="15.0"/>
    <col customWidth="1" min="13" max="13" width="34.5"/>
    <col customWidth="1" min="14" max="14" width="15.88"/>
  </cols>
  <sheetData>
    <row r="1" ht="15.75" customHeight="1">
      <c r="A1" s="1" t="s">
        <v>0</v>
      </c>
      <c r="B1" s="2"/>
      <c r="C1" s="2"/>
      <c r="D1" s="2"/>
      <c r="E1" s="2"/>
      <c r="F1" s="2"/>
      <c r="G1" s="2"/>
      <c r="H1" s="2"/>
      <c r="I1" s="2"/>
      <c r="J1" s="2"/>
      <c r="K1" s="2"/>
      <c r="L1" s="2"/>
      <c r="M1" s="2"/>
      <c r="O1" s="3"/>
      <c r="P1" s="3"/>
      <c r="Q1" s="3"/>
      <c r="R1" s="3"/>
      <c r="S1" s="3"/>
      <c r="T1" s="3"/>
      <c r="U1" s="3"/>
      <c r="V1" s="3"/>
      <c r="W1" s="3"/>
      <c r="X1" s="3"/>
      <c r="Y1" s="3"/>
      <c r="Z1" s="3"/>
      <c r="AB1" s="3"/>
      <c r="AC1" s="3"/>
      <c r="AD1" s="3"/>
      <c r="AE1" s="3"/>
      <c r="AF1" s="3"/>
      <c r="AG1" s="3"/>
      <c r="AH1" s="3"/>
    </row>
    <row r="2" ht="15.75" customHeight="1">
      <c r="A2" s="1" t="s">
        <v>1</v>
      </c>
      <c r="B2" s="4">
        <v>45658.0</v>
      </c>
      <c r="C2" s="4">
        <v>45689.0</v>
      </c>
      <c r="D2" s="4">
        <v>45717.0</v>
      </c>
      <c r="E2" s="4">
        <v>45748.0</v>
      </c>
      <c r="F2" s="4">
        <v>45778.0</v>
      </c>
      <c r="G2" s="4">
        <v>45809.0</v>
      </c>
      <c r="H2" s="4">
        <v>45839.0</v>
      </c>
      <c r="I2" s="4">
        <v>45870.0</v>
      </c>
      <c r="J2" s="4">
        <v>45901.0</v>
      </c>
      <c r="K2" s="4">
        <v>45931.0</v>
      </c>
      <c r="L2" s="4">
        <v>45962.0</v>
      </c>
      <c r="M2" s="4">
        <v>45992.0</v>
      </c>
      <c r="N2" s="5">
        <v>2025.0</v>
      </c>
      <c r="O2" s="3"/>
      <c r="P2" s="3"/>
      <c r="Q2" s="3"/>
      <c r="R2" s="3"/>
      <c r="S2" s="3"/>
      <c r="T2" s="3"/>
      <c r="U2" s="3"/>
      <c r="V2" s="3"/>
      <c r="W2" s="3"/>
      <c r="X2" s="3"/>
      <c r="Y2" s="3"/>
      <c r="Z2" s="3"/>
      <c r="AB2" s="3"/>
      <c r="AC2" s="3"/>
      <c r="AD2" s="3"/>
      <c r="AE2" s="3"/>
      <c r="AF2" s="3"/>
      <c r="AG2" s="3"/>
      <c r="AH2" s="3"/>
    </row>
    <row r="3" ht="15.75" customHeight="1">
      <c r="A3" s="6" t="s">
        <v>2</v>
      </c>
      <c r="B3" s="7"/>
      <c r="C3" s="7"/>
      <c r="D3" s="7"/>
      <c r="E3" s="7"/>
      <c r="F3" s="7"/>
      <c r="G3" s="7"/>
      <c r="H3" s="7"/>
      <c r="I3" s="7"/>
      <c r="J3" s="7"/>
      <c r="K3" s="7"/>
      <c r="L3" s="7"/>
      <c r="M3" s="7"/>
      <c r="N3" s="8"/>
    </row>
    <row r="4" ht="15.75" customHeight="1">
      <c r="A4" s="7" t="s">
        <v>3</v>
      </c>
      <c r="B4" s="9">
        <v>6.0</v>
      </c>
      <c r="C4" s="9">
        <v>0.0</v>
      </c>
      <c r="D4" s="9">
        <v>0.0</v>
      </c>
      <c r="E4" s="9">
        <v>0.0</v>
      </c>
      <c r="F4" s="9">
        <v>0.0</v>
      </c>
      <c r="G4" s="9">
        <v>0.0</v>
      </c>
      <c r="H4" s="9">
        <v>0.0</v>
      </c>
      <c r="I4" s="9">
        <v>0.0</v>
      </c>
      <c r="J4" s="9">
        <v>0.0</v>
      </c>
      <c r="K4" s="9">
        <v>0.0</v>
      </c>
      <c r="L4" s="9">
        <v>0.0</v>
      </c>
      <c r="M4" s="9">
        <v>0.0</v>
      </c>
      <c r="N4" s="10">
        <f>SUM(B4:M4)</f>
        <v>6</v>
      </c>
    </row>
    <row r="5" ht="15.75" customHeight="1">
      <c r="A5" s="7" t="s">
        <v>4</v>
      </c>
      <c r="B5" s="11">
        <v>3000.0</v>
      </c>
      <c r="C5" s="11">
        <v>3000.0</v>
      </c>
      <c r="D5" s="11">
        <v>3000.0</v>
      </c>
      <c r="E5" s="11">
        <v>3000.0</v>
      </c>
      <c r="F5" s="11">
        <v>3000.0</v>
      </c>
      <c r="G5" s="11">
        <v>3000.0</v>
      </c>
      <c r="H5" s="11">
        <v>3000.0</v>
      </c>
      <c r="I5" s="11">
        <v>3000.0</v>
      </c>
      <c r="J5" s="11">
        <v>3000.0</v>
      </c>
      <c r="K5" s="11">
        <v>3000.0</v>
      </c>
      <c r="L5" s="11">
        <v>3000.0</v>
      </c>
      <c r="M5" s="11">
        <v>3000.0</v>
      </c>
      <c r="N5" s="12"/>
    </row>
    <row r="6" ht="15.75" customHeight="1">
      <c r="A6" s="7" t="s">
        <v>5</v>
      </c>
      <c r="B6" s="9">
        <v>12.0</v>
      </c>
      <c r="C6" s="9">
        <v>0.0</v>
      </c>
      <c r="D6" s="9">
        <v>0.0</v>
      </c>
      <c r="E6" s="9">
        <v>0.0</v>
      </c>
      <c r="F6" s="9">
        <v>0.0</v>
      </c>
      <c r="G6" s="9">
        <v>0.0</v>
      </c>
      <c r="H6" s="9">
        <v>0.0</v>
      </c>
      <c r="I6" s="9">
        <v>0.0</v>
      </c>
      <c r="J6" s="9">
        <v>0.0</v>
      </c>
      <c r="K6" s="9">
        <v>0.0</v>
      </c>
      <c r="L6" s="9">
        <v>0.0</v>
      </c>
      <c r="M6" s="9">
        <v>0.0</v>
      </c>
      <c r="N6" s="12">
        <f>SUM(B6:M6)</f>
        <v>12</v>
      </c>
    </row>
    <row r="7" ht="15.75" customHeight="1">
      <c r="A7" s="7" t="s">
        <v>6</v>
      </c>
      <c r="B7" s="11">
        <v>3000.0</v>
      </c>
      <c r="C7" s="11">
        <v>3000.0</v>
      </c>
      <c r="D7" s="11">
        <v>3000.0</v>
      </c>
      <c r="E7" s="11">
        <v>3000.0</v>
      </c>
      <c r="F7" s="11">
        <v>3000.0</v>
      </c>
      <c r="G7" s="11">
        <v>3000.0</v>
      </c>
      <c r="H7" s="11">
        <v>3000.0</v>
      </c>
      <c r="I7" s="11">
        <v>3000.0</v>
      </c>
      <c r="J7" s="11">
        <v>3000.0</v>
      </c>
      <c r="K7" s="11">
        <v>3000.0</v>
      </c>
      <c r="L7" s="11">
        <v>3000.0</v>
      </c>
      <c r="M7" s="11">
        <v>3000.0</v>
      </c>
      <c r="N7" s="12"/>
    </row>
    <row r="8" ht="15.75" customHeight="1">
      <c r="A8" s="7"/>
      <c r="B8" s="9"/>
      <c r="C8" s="13"/>
      <c r="D8" s="13"/>
      <c r="E8" s="13"/>
      <c r="F8" s="13"/>
      <c r="G8" s="13"/>
      <c r="H8" s="13"/>
      <c r="I8" s="13"/>
      <c r="J8" s="13"/>
      <c r="K8" s="13"/>
      <c r="L8" s="13"/>
      <c r="M8" s="13"/>
      <c r="N8" s="12"/>
    </row>
    <row r="9" ht="15.75" customHeight="1">
      <c r="A9" s="7" t="s">
        <v>7</v>
      </c>
      <c r="B9" s="9">
        <v>1.0</v>
      </c>
      <c r="C9" s="9">
        <v>2.0</v>
      </c>
      <c r="D9" s="14">
        <v>3.0</v>
      </c>
      <c r="E9" s="14">
        <v>3.0</v>
      </c>
      <c r="F9" s="14">
        <v>15.0</v>
      </c>
      <c r="G9" s="9">
        <v>3.0</v>
      </c>
      <c r="H9" s="14">
        <v>7.0</v>
      </c>
      <c r="I9" s="14">
        <v>8.0</v>
      </c>
      <c r="J9" s="9">
        <v>1.0</v>
      </c>
      <c r="K9" s="13"/>
      <c r="L9" s="13"/>
      <c r="M9" s="13"/>
      <c r="N9" s="10">
        <f>SUM(B9:M9)</f>
        <v>43</v>
      </c>
    </row>
    <row r="10" ht="15.75" customHeight="1">
      <c r="A10" s="7" t="s">
        <v>8</v>
      </c>
      <c r="B10" s="11">
        <v>3000.0</v>
      </c>
      <c r="C10" s="11">
        <v>3000.0</v>
      </c>
      <c r="D10" s="11">
        <v>3000.0</v>
      </c>
      <c r="E10" s="11">
        <v>3000.0</v>
      </c>
      <c r="F10" s="11">
        <v>3000.0</v>
      </c>
      <c r="G10" s="11">
        <v>3000.0</v>
      </c>
      <c r="H10" s="11">
        <v>3000.0</v>
      </c>
      <c r="I10" s="11">
        <v>3000.0</v>
      </c>
      <c r="J10" s="11">
        <v>3000.0</v>
      </c>
      <c r="K10" s="11">
        <v>3000.0</v>
      </c>
      <c r="L10" s="11">
        <v>3000.0</v>
      </c>
      <c r="M10" s="11">
        <v>3000.0</v>
      </c>
      <c r="N10" s="12"/>
    </row>
    <row r="11" ht="15.75" customHeight="1">
      <c r="A11" s="7" t="s">
        <v>9</v>
      </c>
      <c r="B11" s="9">
        <v>39.0</v>
      </c>
      <c r="C11" s="9">
        <f t="shared" ref="C11:J11" si="1">SUM(B11,C9)</f>
        <v>41</v>
      </c>
      <c r="D11" s="9">
        <f t="shared" si="1"/>
        <v>44</v>
      </c>
      <c r="E11" s="9">
        <f t="shared" si="1"/>
        <v>47</v>
      </c>
      <c r="F11" s="9">
        <f t="shared" si="1"/>
        <v>62</v>
      </c>
      <c r="G11" s="9">
        <f t="shared" si="1"/>
        <v>65</v>
      </c>
      <c r="H11" s="9">
        <f t="shared" si="1"/>
        <v>72</v>
      </c>
      <c r="I11" s="9">
        <f t="shared" si="1"/>
        <v>80</v>
      </c>
      <c r="J11" s="9">
        <f t="shared" si="1"/>
        <v>81</v>
      </c>
      <c r="K11" s="13"/>
      <c r="L11" s="13"/>
      <c r="M11" s="13"/>
      <c r="N11" s="12" t="str">
        <f>M11</f>
        <v/>
      </c>
    </row>
    <row r="12" ht="15.75" customHeight="1">
      <c r="A12" s="7" t="s">
        <v>10</v>
      </c>
      <c r="B12" s="11">
        <v>3000.0</v>
      </c>
      <c r="C12" s="11">
        <v>3000.0</v>
      </c>
      <c r="D12" s="11">
        <v>3000.0</v>
      </c>
      <c r="E12" s="11">
        <v>3000.0</v>
      </c>
      <c r="F12" s="11">
        <v>3000.0</v>
      </c>
      <c r="G12" s="11">
        <v>3000.0</v>
      </c>
      <c r="H12" s="11">
        <v>3000.0</v>
      </c>
      <c r="I12" s="11">
        <v>3000.0</v>
      </c>
      <c r="J12" s="11">
        <v>3000.0</v>
      </c>
      <c r="K12" s="11">
        <v>3000.0</v>
      </c>
      <c r="L12" s="11">
        <v>3000.0</v>
      </c>
      <c r="M12" s="11">
        <v>3000.0</v>
      </c>
      <c r="N12" s="12"/>
    </row>
    <row r="13" ht="15.75" customHeight="1">
      <c r="A13" s="7"/>
      <c r="B13" s="9"/>
      <c r="C13" s="13"/>
      <c r="D13" s="13"/>
      <c r="E13" s="13"/>
      <c r="F13" s="13"/>
      <c r="G13" s="13"/>
      <c r="H13" s="13"/>
      <c r="I13" s="13"/>
      <c r="J13" s="13"/>
      <c r="K13" s="13"/>
      <c r="L13" s="13"/>
      <c r="M13" s="13"/>
      <c r="N13" s="15"/>
    </row>
    <row r="14" ht="15.75" customHeight="1">
      <c r="A14" s="7" t="s">
        <v>11</v>
      </c>
      <c r="B14" s="9">
        <v>1.0</v>
      </c>
      <c r="C14" s="9">
        <v>2.0</v>
      </c>
      <c r="D14" s="14">
        <v>3.0</v>
      </c>
      <c r="E14" s="14">
        <v>3.0</v>
      </c>
      <c r="F14" s="14">
        <v>15.0</v>
      </c>
      <c r="G14" s="9">
        <v>3.0</v>
      </c>
      <c r="H14" s="14">
        <v>7.0</v>
      </c>
      <c r="I14" s="14">
        <v>8.0</v>
      </c>
      <c r="J14" s="9">
        <v>1.0</v>
      </c>
      <c r="K14" s="9">
        <v>0.0</v>
      </c>
      <c r="L14" s="9">
        <v>0.0</v>
      </c>
      <c r="M14" s="9">
        <v>0.0</v>
      </c>
      <c r="N14" s="16">
        <f>SUM(B14:M14)</f>
        <v>43</v>
      </c>
    </row>
    <row r="15" ht="15.75" customHeight="1">
      <c r="A15" s="7" t="s">
        <v>12</v>
      </c>
      <c r="B15" s="9">
        <v>39.0</v>
      </c>
      <c r="C15" s="9">
        <f t="shared" ref="C15:J15" si="2">SUM(B15,C14)</f>
        <v>41</v>
      </c>
      <c r="D15" s="9">
        <f t="shared" si="2"/>
        <v>44</v>
      </c>
      <c r="E15" s="9">
        <f t="shared" si="2"/>
        <v>47</v>
      </c>
      <c r="F15" s="9">
        <f t="shared" si="2"/>
        <v>62</v>
      </c>
      <c r="G15" s="9">
        <f t="shared" si="2"/>
        <v>65</v>
      </c>
      <c r="H15" s="9">
        <f t="shared" si="2"/>
        <v>72</v>
      </c>
      <c r="I15" s="9">
        <f t="shared" si="2"/>
        <v>80</v>
      </c>
      <c r="J15" s="9">
        <f t="shared" si="2"/>
        <v>81</v>
      </c>
      <c r="K15" s="17">
        <v>81.0</v>
      </c>
      <c r="L15" s="17">
        <v>81.0</v>
      </c>
      <c r="M15" s="17">
        <v>81.0</v>
      </c>
      <c r="N15" s="15">
        <f>M15</f>
        <v>81</v>
      </c>
    </row>
    <row r="16" ht="15.75" customHeight="1">
      <c r="A16" s="7"/>
      <c r="B16" s="9"/>
      <c r="C16" s="13"/>
      <c r="D16" s="13"/>
      <c r="E16" s="13"/>
      <c r="F16" s="13"/>
      <c r="G16" s="13"/>
      <c r="H16" s="13"/>
      <c r="I16" s="13"/>
      <c r="J16" s="13"/>
      <c r="K16" s="13"/>
      <c r="L16" s="13"/>
      <c r="M16" s="13"/>
      <c r="N16" s="15"/>
    </row>
    <row r="17" ht="15.75" customHeight="1">
      <c r="A17" s="18" t="s">
        <v>13</v>
      </c>
      <c r="B17" s="19" t="s">
        <v>14</v>
      </c>
      <c r="C17" s="19">
        <v>130.0</v>
      </c>
      <c r="D17" s="19">
        <v>5.096E8</v>
      </c>
      <c r="E17" s="19">
        <v>9.0E7</v>
      </c>
      <c r="F17" s="19">
        <v>8.84767295E7</v>
      </c>
      <c r="G17" s="19">
        <v>520935.36</v>
      </c>
      <c r="H17" s="19">
        <v>2.535E9</v>
      </c>
      <c r="I17" s="19">
        <v>3.72E8</v>
      </c>
      <c r="J17" s="19">
        <v>0.0</v>
      </c>
      <c r="K17" s="19">
        <v>0.0</v>
      </c>
      <c r="L17" s="19">
        <v>0.0</v>
      </c>
      <c r="M17" s="19">
        <v>0.0</v>
      </c>
      <c r="N17" s="20">
        <f>SUM(B17:M17)</f>
        <v>3595597795</v>
      </c>
    </row>
    <row r="18" ht="15.75" customHeight="1">
      <c r="A18" s="7"/>
      <c r="B18" s="21"/>
      <c r="C18" s="22"/>
      <c r="D18" s="22"/>
      <c r="E18" s="22"/>
      <c r="F18" s="22"/>
      <c r="G18" s="22"/>
      <c r="H18" s="22"/>
      <c r="I18" s="22"/>
      <c r="J18" s="22"/>
      <c r="K18" s="22"/>
      <c r="M18" s="13"/>
      <c r="N18" s="15"/>
    </row>
    <row r="19" ht="15.75" customHeight="1">
      <c r="A19" s="18" t="s">
        <v>15</v>
      </c>
      <c r="B19" s="19" t="s">
        <v>16</v>
      </c>
      <c r="C19" s="23">
        <v>0.0</v>
      </c>
      <c r="D19" s="24">
        <v>555500.0</v>
      </c>
      <c r="E19" s="24">
        <v>2800000.0</v>
      </c>
      <c r="F19" s="23">
        <v>1596646.0</v>
      </c>
      <c r="G19" s="24">
        <v>11119.0</v>
      </c>
      <c r="H19" s="24">
        <v>3.897E8</v>
      </c>
      <c r="I19" s="23">
        <v>1.00656E7</v>
      </c>
      <c r="J19" s="23">
        <v>0.0</v>
      </c>
      <c r="K19" s="23">
        <v>0.0</v>
      </c>
      <c r="L19" s="23">
        <v>0.0</v>
      </c>
      <c r="M19" s="23">
        <v>0.0</v>
      </c>
      <c r="N19" s="20">
        <f>SUM(B19:M19)</f>
        <v>404728865</v>
      </c>
    </row>
    <row r="20" ht="15.75" customHeight="1">
      <c r="A20" s="7"/>
      <c r="B20" s="25"/>
      <c r="C20" s="22"/>
      <c r="D20" s="22"/>
      <c r="E20" s="22"/>
      <c r="F20" s="22"/>
      <c r="G20" s="22"/>
      <c r="H20" s="22"/>
      <c r="I20" s="22"/>
      <c r="J20" s="22"/>
      <c r="K20" s="22"/>
      <c r="L20" s="13"/>
      <c r="M20" s="13"/>
      <c r="N20" s="15"/>
    </row>
    <row r="21" ht="15.75" customHeight="1">
      <c r="A21" s="18" t="s">
        <v>17</v>
      </c>
      <c r="B21" s="14">
        <v>734.0</v>
      </c>
      <c r="C21" s="25">
        <v>3.0</v>
      </c>
      <c r="D21" s="25">
        <v>66.0</v>
      </c>
      <c r="E21" s="25">
        <v>22.0</v>
      </c>
      <c r="F21" s="25">
        <v>148.0</v>
      </c>
      <c r="G21" s="25">
        <v>18.0</v>
      </c>
      <c r="H21" s="25">
        <v>41.0</v>
      </c>
      <c r="I21" s="25">
        <v>20.0</v>
      </c>
      <c r="J21" s="25">
        <v>2.0</v>
      </c>
      <c r="K21" s="25">
        <v>0.0</v>
      </c>
      <c r="L21" s="25">
        <v>0.0</v>
      </c>
      <c r="M21" s="25">
        <v>0.0</v>
      </c>
      <c r="N21" s="16">
        <f>SUM(B21:M21)</f>
        <v>1054</v>
      </c>
    </row>
    <row r="22" ht="15.75" customHeight="1">
      <c r="A22" s="7"/>
      <c r="B22" s="26"/>
      <c r="C22" s="13"/>
      <c r="D22" s="13"/>
      <c r="E22" s="13"/>
      <c r="F22" s="13"/>
      <c r="G22" s="13"/>
      <c r="H22" s="13"/>
      <c r="I22" s="13"/>
      <c r="J22" s="13"/>
      <c r="K22" s="13"/>
      <c r="L22" s="13"/>
      <c r="M22" s="13"/>
      <c r="N22" s="15"/>
    </row>
    <row r="23" ht="15.75" customHeight="1">
      <c r="A23" s="6" t="s">
        <v>18</v>
      </c>
      <c r="B23" s="27"/>
      <c r="C23" s="27"/>
      <c r="D23" s="27"/>
      <c r="E23" s="27"/>
      <c r="F23" s="27"/>
      <c r="G23" s="27"/>
      <c r="H23" s="27"/>
      <c r="I23" s="27"/>
      <c r="J23" s="27"/>
      <c r="K23" s="27"/>
      <c r="L23" s="27"/>
      <c r="M23" s="27"/>
      <c r="N23" s="27"/>
    </row>
    <row r="24" ht="15.75" customHeight="1">
      <c r="A24" s="7" t="s">
        <v>19</v>
      </c>
      <c r="B24" s="21">
        <v>81037.0</v>
      </c>
      <c r="C24" s="21">
        <v>146347.0</v>
      </c>
      <c r="D24" s="21">
        <v>139102.0</v>
      </c>
      <c r="E24" s="21">
        <v>166824.0</v>
      </c>
      <c r="F24" s="21">
        <v>160609.0</v>
      </c>
      <c r="G24" s="11">
        <v>168053.0</v>
      </c>
      <c r="H24" s="11">
        <v>150830.0</v>
      </c>
      <c r="I24" s="11">
        <v>140486.0</v>
      </c>
      <c r="J24" s="28">
        <v>173849.0</v>
      </c>
      <c r="K24" s="28">
        <v>147524.0</v>
      </c>
      <c r="L24" s="28">
        <v>158998.0</v>
      </c>
      <c r="M24" s="28">
        <v>195532.0</v>
      </c>
      <c r="N24" s="20">
        <f t="shared" ref="N24:N26" si="3">SUM(B24:M24)</f>
        <v>1829191</v>
      </c>
    </row>
    <row r="25" ht="15.75" customHeight="1">
      <c r="A25" s="7" t="s">
        <v>20</v>
      </c>
      <c r="B25" s="21">
        <v>43578.0</v>
      </c>
      <c r="C25" s="21">
        <v>79700.0</v>
      </c>
      <c r="D25" s="21">
        <v>110210.0</v>
      </c>
      <c r="E25" s="21">
        <v>110220.0</v>
      </c>
      <c r="F25" s="21">
        <v>154142.0</v>
      </c>
      <c r="G25" s="11">
        <v>176547.0</v>
      </c>
      <c r="H25" s="11">
        <v>112832.0</v>
      </c>
      <c r="I25" s="11">
        <v>131214.0</v>
      </c>
      <c r="J25" s="28">
        <v>109383.0</v>
      </c>
      <c r="K25" s="28">
        <v>116698.0</v>
      </c>
      <c r="L25" s="28">
        <v>125243.0</v>
      </c>
      <c r="M25" s="28">
        <v>124344.0</v>
      </c>
      <c r="N25" s="20">
        <f t="shared" si="3"/>
        <v>1394111</v>
      </c>
    </row>
    <row r="26" ht="15.75" customHeight="1">
      <c r="A26" s="29" t="s">
        <v>21</v>
      </c>
      <c r="B26" s="30">
        <f t="shared" ref="B26:M26" si="4">B24-B25</f>
        <v>37459</v>
      </c>
      <c r="C26" s="30">
        <f t="shared" si="4"/>
        <v>66647</v>
      </c>
      <c r="D26" s="30">
        <f t="shared" si="4"/>
        <v>28892</v>
      </c>
      <c r="E26" s="30">
        <f t="shared" si="4"/>
        <v>56604</v>
      </c>
      <c r="F26" s="30">
        <f t="shared" si="4"/>
        <v>6467</v>
      </c>
      <c r="G26" s="30">
        <f t="shared" si="4"/>
        <v>-8494</v>
      </c>
      <c r="H26" s="30">
        <f t="shared" si="4"/>
        <v>37998</v>
      </c>
      <c r="I26" s="30">
        <f t="shared" si="4"/>
        <v>9272</v>
      </c>
      <c r="J26" s="30">
        <f t="shared" si="4"/>
        <v>64466</v>
      </c>
      <c r="K26" s="30">
        <f t="shared" si="4"/>
        <v>30826</v>
      </c>
      <c r="L26" s="30">
        <f t="shared" si="4"/>
        <v>33755</v>
      </c>
      <c r="M26" s="30">
        <f t="shared" si="4"/>
        <v>71188</v>
      </c>
      <c r="N26" s="30">
        <f t="shared" si="3"/>
        <v>435080</v>
      </c>
      <c r="O26" s="31"/>
      <c r="P26" s="31"/>
      <c r="Q26" s="31"/>
      <c r="R26" s="31"/>
      <c r="S26" s="31"/>
      <c r="T26" s="31"/>
      <c r="U26" s="31"/>
      <c r="V26" s="31"/>
      <c r="W26" s="31"/>
      <c r="X26" s="31"/>
      <c r="Y26" s="31"/>
      <c r="Z26" s="31"/>
      <c r="AB26" s="31"/>
      <c r="AC26" s="31"/>
      <c r="AD26" s="31"/>
      <c r="AE26" s="31"/>
      <c r="AF26" s="31"/>
      <c r="AG26" s="31"/>
      <c r="AH26" s="31"/>
    </row>
    <row r="27" ht="15.75" customHeight="1">
      <c r="A27" s="7"/>
      <c r="B27" s="7"/>
      <c r="C27" s="7"/>
      <c r="D27" s="7"/>
      <c r="E27" s="7"/>
      <c r="F27" s="7"/>
      <c r="G27" s="7"/>
      <c r="H27" s="7"/>
      <c r="I27" s="7"/>
      <c r="J27" s="7"/>
      <c r="K27" s="7"/>
      <c r="L27" s="7"/>
      <c r="M27" s="7"/>
      <c r="N27" s="8"/>
    </row>
    <row r="28" ht="15.75" customHeight="1">
      <c r="A28" s="7" t="s">
        <v>22</v>
      </c>
      <c r="B28" s="32">
        <v>1.0</v>
      </c>
      <c r="C28" s="32">
        <v>1.0</v>
      </c>
      <c r="D28" s="32">
        <v>1.0</v>
      </c>
      <c r="E28" s="32">
        <v>1.0</v>
      </c>
      <c r="F28" s="32">
        <v>1.0</v>
      </c>
      <c r="G28" s="32">
        <v>1.0</v>
      </c>
      <c r="H28" s="32">
        <v>1.0</v>
      </c>
      <c r="I28" s="32">
        <v>1.0</v>
      </c>
      <c r="J28" s="32">
        <v>1.0</v>
      </c>
      <c r="K28" s="32">
        <v>1.0</v>
      </c>
      <c r="L28" s="32">
        <v>1.0</v>
      </c>
      <c r="M28" s="32">
        <v>1.0</v>
      </c>
      <c r="N28" s="33">
        <f>AVERAGE(B28:M28)</f>
        <v>1</v>
      </c>
    </row>
    <row r="29" ht="15.75" customHeight="1">
      <c r="A29" s="7"/>
      <c r="B29" s="34"/>
      <c r="C29" s="34"/>
      <c r="D29" s="34"/>
      <c r="E29" s="34"/>
      <c r="F29" s="34"/>
      <c r="G29" s="34"/>
      <c r="H29" s="34"/>
      <c r="I29" s="34"/>
      <c r="J29" s="34"/>
      <c r="K29" s="34"/>
      <c r="L29" s="34"/>
      <c r="M29" s="34"/>
      <c r="N29" s="35"/>
    </row>
    <row r="30" ht="15.75" customHeight="1">
      <c r="A30" s="7" t="s">
        <v>23</v>
      </c>
      <c r="B30" s="9">
        <v>10.0</v>
      </c>
      <c r="C30" s="9">
        <v>11.0</v>
      </c>
      <c r="D30" s="9">
        <v>13.0</v>
      </c>
      <c r="E30" s="9">
        <v>13.0</v>
      </c>
      <c r="F30" s="9">
        <v>14.0</v>
      </c>
      <c r="G30" s="9">
        <v>13.0</v>
      </c>
      <c r="H30" s="9">
        <v>12.0</v>
      </c>
      <c r="I30" s="9">
        <v>11.0</v>
      </c>
      <c r="J30" s="36">
        <v>13.0</v>
      </c>
      <c r="K30" s="37">
        <v>12.0</v>
      </c>
      <c r="L30" s="37">
        <v>11.0</v>
      </c>
      <c r="M30" s="37">
        <v>13.0</v>
      </c>
      <c r="N30" s="35">
        <f>M30</f>
        <v>13</v>
      </c>
    </row>
    <row r="31" ht="15.75" customHeight="1">
      <c r="A31" s="7"/>
      <c r="B31" s="34"/>
      <c r="C31" s="34"/>
      <c r="D31" s="34"/>
      <c r="E31" s="34"/>
      <c r="F31" s="34"/>
      <c r="G31" s="34"/>
      <c r="H31" s="34"/>
      <c r="I31" s="34"/>
      <c r="J31" s="34"/>
      <c r="K31" s="34"/>
      <c r="L31" s="34"/>
      <c r="M31" s="34"/>
      <c r="N31" s="35"/>
    </row>
    <row r="32" ht="15.75" customHeight="1">
      <c r="A32" s="7" t="s">
        <v>24</v>
      </c>
      <c r="B32" s="32">
        <v>0.95</v>
      </c>
      <c r="C32" s="32">
        <v>0.95</v>
      </c>
      <c r="D32" s="32">
        <v>0.95</v>
      </c>
      <c r="E32" s="32">
        <v>0.95</v>
      </c>
      <c r="F32" s="32">
        <v>0.95</v>
      </c>
      <c r="G32" s="32">
        <v>0.95</v>
      </c>
      <c r="H32" s="32">
        <v>0.95</v>
      </c>
      <c r="I32" s="32">
        <v>0.95</v>
      </c>
      <c r="J32" s="32">
        <v>0.95</v>
      </c>
      <c r="K32" s="32">
        <v>0.95</v>
      </c>
      <c r="L32" s="32">
        <v>0.95</v>
      </c>
      <c r="M32" s="32">
        <v>0.95</v>
      </c>
      <c r="N32" s="33">
        <f>AVERAGE(B32:M32)</f>
        <v>0.95</v>
      </c>
    </row>
    <row r="33" ht="15.75" customHeight="1">
      <c r="A33" s="7"/>
      <c r="B33" s="7"/>
      <c r="C33" s="7"/>
      <c r="D33" s="7"/>
      <c r="E33" s="7"/>
      <c r="F33" s="7"/>
      <c r="G33" s="7"/>
      <c r="H33" s="7"/>
      <c r="I33" s="7"/>
      <c r="J33" s="7"/>
      <c r="K33" s="7"/>
      <c r="L33" s="7"/>
      <c r="M33" s="7"/>
      <c r="N33" s="8"/>
    </row>
    <row r="34" ht="15.75" customHeight="1">
      <c r="A34" s="6" t="s">
        <v>25</v>
      </c>
      <c r="B34" s="27"/>
      <c r="C34" s="27"/>
      <c r="D34" s="27"/>
      <c r="E34" s="27"/>
      <c r="F34" s="27"/>
      <c r="G34" s="27"/>
      <c r="H34" s="27"/>
      <c r="I34" s="27"/>
      <c r="J34" s="27"/>
      <c r="K34" s="27"/>
      <c r="L34" s="27"/>
      <c r="M34" s="27"/>
      <c r="N34" s="27"/>
    </row>
    <row r="35" ht="15.75" customHeight="1">
      <c r="A35" s="7" t="s">
        <v>26</v>
      </c>
      <c r="B35" s="9">
        <v>0.0</v>
      </c>
      <c r="C35" s="9">
        <v>0.0</v>
      </c>
      <c r="D35" s="9">
        <v>0.0</v>
      </c>
      <c r="E35" s="9">
        <v>2.0</v>
      </c>
      <c r="F35" s="9">
        <v>3.0</v>
      </c>
      <c r="G35" s="9">
        <v>1.0</v>
      </c>
      <c r="H35" s="9">
        <v>2.0</v>
      </c>
      <c r="I35" s="9">
        <v>1.0</v>
      </c>
      <c r="J35" s="9">
        <v>2.0</v>
      </c>
      <c r="K35" s="37">
        <v>0.0</v>
      </c>
      <c r="L35" s="37">
        <v>0.0</v>
      </c>
      <c r="M35" s="37">
        <v>0.0</v>
      </c>
      <c r="N35" s="16">
        <f t="shared" ref="N35:N37" si="5">SUM(B35:M35)</f>
        <v>11</v>
      </c>
    </row>
    <row r="36" ht="15.75" customHeight="1">
      <c r="A36" s="7" t="s">
        <v>27</v>
      </c>
      <c r="B36" s="9">
        <v>0.0</v>
      </c>
      <c r="C36" s="9">
        <v>0.0</v>
      </c>
      <c r="D36" s="9">
        <v>0.0</v>
      </c>
      <c r="E36" s="9">
        <v>2.0</v>
      </c>
      <c r="F36" s="9">
        <v>0.0</v>
      </c>
      <c r="G36" s="9">
        <v>1.0</v>
      </c>
      <c r="H36" s="9">
        <v>0.0</v>
      </c>
      <c r="I36" s="9">
        <v>0.0</v>
      </c>
      <c r="J36" s="9">
        <v>0.0</v>
      </c>
      <c r="K36" s="37">
        <v>0.0</v>
      </c>
      <c r="L36" s="37">
        <v>0.0</v>
      </c>
      <c r="M36" s="37">
        <v>0.0</v>
      </c>
      <c r="N36" s="16">
        <f t="shared" si="5"/>
        <v>3</v>
      </c>
    </row>
    <row r="37" ht="15.75" customHeight="1">
      <c r="A37" s="7" t="s">
        <v>28</v>
      </c>
      <c r="B37" s="38">
        <v>0.0</v>
      </c>
      <c r="C37" s="38">
        <v>0.0</v>
      </c>
      <c r="D37" s="38">
        <v>0.0</v>
      </c>
      <c r="E37" s="38">
        <v>800000.0</v>
      </c>
      <c r="F37" s="38">
        <v>0.0</v>
      </c>
      <c r="G37" s="38">
        <v>120000.0</v>
      </c>
      <c r="H37" s="38">
        <v>0.0</v>
      </c>
      <c r="I37" s="38">
        <v>0.0</v>
      </c>
      <c r="J37" s="39">
        <v>50000.0</v>
      </c>
      <c r="K37" s="38">
        <v>0.0</v>
      </c>
      <c r="L37" s="38">
        <v>0.0</v>
      </c>
      <c r="M37" s="38">
        <v>0.0</v>
      </c>
      <c r="N37" s="30">
        <f t="shared" si="5"/>
        <v>970000</v>
      </c>
      <c r="O37" s="31"/>
      <c r="P37" s="31"/>
      <c r="Q37" s="31"/>
      <c r="R37" s="31"/>
      <c r="S37" s="31"/>
      <c r="T37" s="31"/>
      <c r="U37" s="31"/>
      <c r="V37" s="31"/>
      <c r="W37" s="31"/>
      <c r="X37" s="31"/>
      <c r="Y37" s="31"/>
      <c r="Z37" s="31"/>
      <c r="AA37" s="31"/>
      <c r="AB37" s="31"/>
      <c r="AC37" s="31"/>
      <c r="AD37" s="31"/>
      <c r="AE37" s="31"/>
      <c r="AF37" s="31"/>
      <c r="AG37" s="31"/>
      <c r="AH37" s="31"/>
    </row>
    <row r="38" ht="15.75" customHeight="1">
      <c r="A38" s="7"/>
      <c r="B38" s="7"/>
      <c r="C38" s="7"/>
      <c r="D38" s="7"/>
      <c r="E38" s="7"/>
      <c r="F38" s="7"/>
      <c r="G38" s="7"/>
      <c r="H38" s="7"/>
      <c r="I38" s="7"/>
      <c r="J38" s="7"/>
      <c r="K38" s="7"/>
      <c r="L38" s="7"/>
      <c r="M38" s="7"/>
      <c r="N38" s="8"/>
    </row>
    <row r="39" ht="15.75" customHeight="1">
      <c r="A39" s="6" t="s">
        <v>29</v>
      </c>
      <c r="B39" s="27"/>
      <c r="C39" s="27"/>
      <c r="D39" s="27"/>
      <c r="E39" s="27"/>
      <c r="F39" s="27"/>
      <c r="G39" s="27"/>
      <c r="H39" s="27"/>
      <c r="I39" s="27"/>
      <c r="J39" s="27"/>
      <c r="K39" s="27"/>
      <c r="L39" s="27"/>
      <c r="M39" s="27"/>
      <c r="N39" s="27"/>
    </row>
    <row r="40" ht="15.75" customHeight="1">
      <c r="A40" s="7" t="s">
        <v>30</v>
      </c>
      <c r="B40" s="9">
        <v>116.0</v>
      </c>
      <c r="C40" s="9">
        <v>476.0</v>
      </c>
      <c r="D40" s="9">
        <v>285.0</v>
      </c>
      <c r="E40" s="9">
        <v>286.0</v>
      </c>
      <c r="F40" s="9">
        <v>412.0</v>
      </c>
      <c r="G40" s="9">
        <v>322.0</v>
      </c>
      <c r="H40" s="9">
        <v>163.0</v>
      </c>
      <c r="I40" s="14">
        <v>132.0</v>
      </c>
      <c r="J40" s="14">
        <v>131.0</v>
      </c>
      <c r="K40" s="14">
        <v>117.0</v>
      </c>
      <c r="L40" s="14">
        <v>166.0</v>
      </c>
      <c r="M40" s="14">
        <v>43.0</v>
      </c>
      <c r="N40" s="8">
        <f>SUM(B40:M40)</f>
        <v>2649</v>
      </c>
    </row>
    <row r="41" ht="15.75" customHeight="1">
      <c r="A41" s="7"/>
      <c r="B41" s="7"/>
      <c r="C41" s="7"/>
      <c r="D41" s="7"/>
      <c r="E41" s="7"/>
      <c r="F41" s="7"/>
      <c r="G41" s="7"/>
      <c r="H41" s="7"/>
      <c r="I41" s="7"/>
      <c r="J41" s="7"/>
      <c r="K41" s="7"/>
      <c r="L41" s="7"/>
      <c r="M41" s="7"/>
      <c r="N41" s="8"/>
    </row>
    <row r="42" ht="15.75" customHeight="1">
      <c r="A42" s="6" t="s">
        <v>31</v>
      </c>
      <c r="B42" s="27"/>
      <c r="C42" s="27"/>
      <c r="D42" s="27"/>
      <c r="E42" s="27"/>
      <c r="F42" s="27"/>
      <c r="G42" s="27"/>
      <c r="H42" s="27"/>
      <c r="I42" s="40"/>
      <c r="J42" s="40"/>
      <c r="K42" s="40"/>
      <c r="L42" s="40"/>
      <c r="M42" s="27"/>
      <c r="N42" s="27"/>
    </row>
    <row r="43" ht="15.75" customHeight="1">
      <c r="A43" s="7" t="s">
        <v>32</v>
      </c>
      <c r="B43" s="30">
        <v>0.0</v>
      </c>
      <c r="C43" s="30">
        <v>0.0</v>
      </c>
      <c r="D43" s="30">
        <v>0.0</v>
      </c>
      <c r="E43" s="30">
        <v>0.0</v>
      </c>
      <c r="F43" s="30">
        <v>0.0</v>
      </c>
      <c r="G43" s="30">
        <v>0.0</v>
      </c>
      <c r="H43" s="41">
        <v>0.0</v>
      </c>
      <c r="I43" s="42">
        <v>0.0</v>
      </c>
      <c r="J43" s="42">
        <v>1200000.0</v>
      </c>
      <c r="K43" s="42">
        <v>1000.0</v>
      </c>
      <c r="L43" s="42">
        <v>200.0</v>
      </c>
      <c r="M43" s="43">
        <v>0.0</v>
      </c>
      <c r="N43" s="30">
        <f>SUM(B43:M43)</f>
        <v>1201200</v>
      </c>
      <c r="O43" s="31"/>
      <c r="P43" s="31"/>
      <c r="Q43" s="31"/>
      <c r="R43" s="31"/>
      <c r="S43" s="31"/>
      <c r="T43" s="31"/>
      <c r="U43" s="31"/>
      <c r="V43" s="31"/>
      <c r="W43" s="31"/>
      <c r="X43" s="31"/>
      <c r="Y43" s="31"/>
      <c r="Z43" s="31"/>
      <c r="AA43" s="31"/>
      <c r="AB43" s="31"/>
      <c r="AC43" s="31"/>
      <c r="AD43" s="31"/>
      <c r="AE43" s="31"/>
      <c r="AF43" s="31"/>
      <c r="AG43" s="31"/>
      <c r="AH43" s="31"/>
    </row>
    <row r="44" ht="15.75" customHeight="1">
      <c r="A44" s="7"/>
      <c r="B44" s="7"/>
      <c r="C44" s="7"/>
      <c r="D44" s="7"/>
      <c r="E44" s="7"/>
      <c r="F44" s="7"/>
      <c r="G44" s="7"/>
      <c r="H44" s="7"/>
      <c r="I44" s="7"/>
      <c r="J44" s="7"/>
      <c r="K44" s="7"/>
      <c r="L44" s="7"/>
      <c r="M44" s="7"/>
      <c r="N44" s="8"/>
    </row>
    <row r="45" ht="15.75" customHeight="1">
      <c r="A45" s="7" t="s">
        <v>33</v>
      </c>
      <c r="B45" s="9">
        <v>10.0</v>
      </c>
      <c r="C45" s="9">
        <v>10.0</v>
      </c>
      <c r="D45" s="9">
        <v>49.0</v>
      </c>
      <c r="E45" s="9">
        <v>2.0</v>
      </c>
      <c r="F45" s="9">
        <v>2.0</v>
      </c>
      <c r="G45" s="9">
        <v>5.0</v>
      </c>
      <c r="H45" s="9">
        <v>6.0</v>
      </c>
      <c r="I45" s="44">
        <v>0.0</v>
      </c>
      <c r="J45" s="9">
        <v>1.0</v>
      </c>
      <c r="K45" s="9">
        <v>1.0</v>
      </c>
      <c r="L45" s="9">
        <v>1.0</v>
      </c>
      <c r="M45" s="9">
        <v>1.0</v>
      </c>
      <c r="N45" s="8">
        <f>SUM(B45:M45)</f>
        <v>88</v>
      </c>
    </row>
    <row r="46" ht="15.75" customHeight="1">
      <c r="A46" s="7"/>
      <c r="B46" s="34"/>
      <c r="C46" s="34"/>
      <c r="D46" s="34"/>
      <c r="E46" s="34"/>
      <c r="F46" s="34"/>
      <c r="G46" s="34"/>
      <c r="H46" s="34"/>
      <c r="I46" s="45"/>
      <c r="J46" s="45"/>
      <c r="K46" s="45"/>
      <c r="L46" s="45"/>
      <c r="M46" s="45"/>
      <c r="N46" s="8"/>
    </row>
    <row r="47" ht="15.75" customHeight="1">
      <c r="A47" s="7" t="s">
        <v>34</v>
      </c>
      <c r="B47" s="9">
        <v>10.0</v>
      </c>
      <c r="C47" s="9">
        <v>10.0</v>
      </c>
      <c r="D47" s="9">
        <v>49.0</v>
      </c>
      <c r="E47" s="9">
        <v>2.0</v>
      </c>
      <c r="F47" s="9">
        <v>2.0</v>
      </c>
      <c r="G47" s="9">
        <v>5.0</v>
      </c>
      <c r="H47" s="9">
        <v>6.0</v>
      </c>
      <c r="I47" s="9">
        <v>0.0</v>
      </c>
      <c r="J47" s="9">
        <v>2000.0</v>
      </c>
      <c r="K47" s="9">
        <v>20.0</v>
      </c>
      <c r="L47" s="9">
        <v>20.0</v>
      </c>
      <c r="M47" s="9">
        <v>20.0</v>
      </c>
      <c r="N47" s="8">
        <f>SUM(B47:M47)</f>
        <v>2144</v>
      </c>
    </row>
    <row r="48" ht="15.75" customHeight="1">
      <c r="A48" s="7"/>
      <c r="B48" s="34"/>
      <c r="C48" s="34"/>
      <c r="D48" s="34"/>
      <c r="E48" s="34"/>
      <c r="F48" s="34"/>
      <c r="G48" s="34"/>
      <c r="H48" s="34"/>
      <c r="I48" s="45"/>
      <c r="J48" s="45"/>
      <c r="K48" s="45"/>
      <c r="L48" s="45"/>
      <c r="M48" s="45"/>
      <c r="N48" s="8"/>
    </row>
    <row r="49" ht="15.75" customHeight="1">
      <c r="A49" s="7" t="s">
        <v>35</v>
      </c>
      <c r="B49" s="9">
        <v>940.0</v>
      </c>
      <c r="C49" s="9">
        <v>1540.0</v>
      </c>
      <c r="D49" s="9">
        <v>3620.0</v>
      </c>
      <c r="E49" s="9">
        <v>80.0</v>
      </c>
      <c r="F49" s="9">
        <v>160.0</v>
      </c>
      <c r="G49" s="9">
        <v>420.0</v>
      </c>
      <c r="H49" s="9">
        <v>820.0</v>
      </c>
      <c r="I49" s="9">
        <v>0.0</v>
      </c>
      <c r="J49" s="9">
        <v>5000.0</v>
      </c>
      <c r="K49" s="9">
        <v>50.0</v>
      </c>
      <c r="L49" s="9">
        <v>50.0</v>
      </c>
      <c r="M49" s="9">
        <v>50.0</v>
      </c>
      <c r="N49" s="8">
        <f>SUM(B49:M49)</f>
        <v>12730</v>
      </c>
    </row>
    <row r="50" ht="15.75" customHeight="1">
      <c r="A50" s="7"/>
      <c r="B50" s="7"/>
      <c r="C50" s="7"/>
      <c r="D50" s="7"/>
      <c r="E50" s="7"/>
      <c r="F50" s="7"/>
      <c r="G50" s="7"/>
      <c r="H50" s="7"/>
      <c r="I50" s="7"/>
      <c r="J50" s="7"/>
      <c r="K50" s="7"/>
      <c r="L50" s="7"/>
      <c r="M50" s="7"/>
      <c r="N50" s="8"/>
    </row>
    <row r="51" ht="15.75" customHeight="1">
      <c r="A51" s="46"/>
      <c r="B51" s="46"/>
      <c r="C51" s="46"/>
      <c r="D51" s="46"/>
      <c r="E51" s="46"/>
      <c r="F51" s="46"/>
      <c r="G51" s="46"/>
      <c r="H51" s="46"/>
      <c r="I51" s="46"/>
      <c r="J51" s="46"/>
      <c r="K51" s="46"/>
      <c r="L51" s="46"/>
      <c r="M51" s="46"/>
      <c r="N51" s="46"/>
    </row>
    <row r="52" ht="15.75" customHeight="1">
      <c r="A52" s="7"/>
      <c r="B52" s="7"/>
      <c r="C52" s="7"/>
      <c r="D52" s="7"/>
      <c r="E52" s="7"/>
      <c r="F52" s="7"/>
      <c r="G52" s="7"/>
      <c r="H52" s="7"/>
      <c r="I52" s="7"/>
      <c r="J52" s="7"/>
      <c r="K52" s="7"/>
      <c r="L52" s="7"/>
      <c r="M52" s="7"/>
      <c r="N52" s="7"/>
    </row>
    <row r="53" ht="15.75" customHeight="1">
      <c r="A53" s="6" t="s">
        <v>36</v>
      </c>
      <c r="B53" s="27"/>
      <c r="C53" s="27"/>
      <c r="D53" s="27"/>
      <c r="E53" s="27"/>
      <c r="F53" s="27"/>
      <c r="G53" s="27"/>
      <c r="H53" s="27"/>
      <c r="I53" s="27"/>
      <c r="J53" s="27"/>
      <c r="K53" s="27"/>
      <c r="L53" s="27"/>
      <c r="M53" s="27"/>
      <c r="N53" s="27"/>
    </row>
    <row r="54" ht="15.75" customHeight="1">
      <c r="A54" s="18" t="s">
        <v>37</v>
      </c>
      <c r="B54" s="9">
        <f>COUNTA(B56:B62)</f>
        <v>7</v>
      </c>
      <c r="C54" s="9"/>
      <c r="D54" s="9"/>
      <c r="E54" s="9"/>
      <c r="F54" s="9"/>
      <c r="G54" s="9"/>
      <c r="H54" s="9"/>
      <c r="I54" s="9"/>
      <c r="J54" s="9"/>
      <c r="K54" s="9"/>
      <c r="L54" s="9"/>
      <c r="M54" s="9"/>
      <c r="N54" s="47">
        <f>SUM(B54:M54)</f>
        <v>7</v>
      </c>
    </row>
    <row r="55" ht="15.75" customHeight="1">
      <c r="A55" s="48" t="s">
        <v>38</v>
      </c>
      <c r="B55" s="49" t="s">
        <v>39</v>
      </c>
      <c r="C55" s="49" t="s">
        <v>40</v>
      </c>
      <c r="D55" s="49" t="s">
        <v>41</v>
      </c>
      <c r="E55" s="49" t="s">
        <v>42</v>
      </c>
      <c r="F55" s="49" t="s">
        <v>43</v>
      </c>
      <c r="G55" s="49" t="s">
        <v>44</v>
      </c>
      <c r="H55" s="49" t="s">
        <v>45</v>
      </c>
      <c r="I55" s="49" t="s">
        <v>46</v>
      </c>
      <c r="J55" s="49"/>
      <c r="K55" s="50"/>
      <c r="L55" s="50"/>
      <c r="M55" s="50"/>
      <c r="N55" s="50"/>
      <c r="O55" s="51"/>
      <c r="P55" s="51"/>
      <c r="Q55" s="51"/>
      <c r="R55" s="51"/>
      <c r="S55" s="51"/>
      <c r="T55" s="51"/>
      <c r="U55" s="51"/>
      <c r="V55" s="51"/>
      <c r="AB55" s="51"/>
      <c r="AC55" s="51"/>
      <c r="AD55" s="51"/>
      <c r="AE55" s="51"/>
      <c r="AF55" s="51"/>
      <c r="AG55" s="51"/>
      <c r="AH55" s="51"/>
    </row>
    <row r="56">
      <c r="A56" s="45" t="s">
        <v>47</v>
      </c>
      <c r="B56" s="9">
        <v>2019.0</v>
      </c>
      <c r="C56" s="9" t="s">
        <v>48</v>
      </c>
      <c r="D56" s="9" t="s">
        <v>49</v>
      </c>
      <c r="E56" s="52" t="s">
        <v>50</v>
      </c>
      <c r="F56" s="9" t="s">
        <v>51</v>
      </c>
      <c r="G56" s="14" t="s">
        <v>52</v>
      </c>
      <c r="H56" s="9">
        <v>50.0</v>
      </c>
      <c r="I56" s="9">
        <v>30.0</v>
      </c>
      <c r="J56" s="9"/>
      <c r="K56" s="9"/>
      <c r="L56" s="9"/>
      <c r="M56" s="9"/>
      <c r="N56" s="8"/>
    </row>
    <row r="57" ht="15.75" customHeight="1">
      <c r="A57" s="45" t="s">
        <v>53</v>
      </c>
      <c r="B57" s="9">
        <v>2019.0</v>
      </c>
      <c r="C57" s="9" t="s">
        <v>48</v>
      </c>
      <c r="D57" s="9" t="s">
        <v>49</v>
      </c>
      <c r="E57" s="53" t="s">
        <v>54</v>
      </c>
      <c r="F57" s="9" t="s">
        <v>51</v>
      </c>
      <c r="G57" s="9" t="s">
        <v>55</v>
      </c>
      <c r="H57" s="9">
        <v>20.0</v>
      </c>
      <c r="I57" s="9">
        <v>15.0</v>
      </c>
      <c r="J57" s="9"/>
      <c r="K57" s="9"/>
      <c r="L57" s="9"/>
      <c r="M57" s="9"/>
      <c r="N57" s="8"/>
    </row>
    <row r="58" ht="15.75" customHeight="1">
      <c r="A58" s="45" t="s">
        <v>56</v>
      </c>
      <c r="B58" s="9">
        <v>2019.0</v>
      </c>
      <c r="C58" s="9" t="s">
        <v>48</v>
      </c>
      <c r="D58" s="9" t="s">
        <v>49</v>
      </c>
      <c r="E58" s="52" t="s">
        <v>57</v>
      </c>
      <c r="F58" s="9" t="s">
        <v>51</v>
      </c>
      <c r="G58" s="14" t="s">
        <v>52</v>
      </c>
      <c r="H58" s="9">
        <v>60.0</v>
      </c>
      <c r="I58" s="9">
        <v>40.0</v>
      </c>
      <c r="J58" s="9"/>
      <c r="K58" s="9"/>
      <c r="L58" s="9"/>
      <c r="M58" s="9"/>
      <c r="N58" s="8"/>
    </row>
    <row r="59" ht="15.75" customHeight="1">
      <c r="A59" s="45" t="s">
        <v>58</v>
      </c>
      <c r="B59" s="9">
        <v>2019.0</v>
      </c>
      <c r="C59" s="9" t="s">
        <v>48</v>
      </c>
      <c r="D59" s="9" t="s">
        <v>49</v>
      </c>
      <c r="E59" s="52" t="s">
        <v>59</v>
      </c>
      <c r="F59" s="9" t="s">
        <v>51</v>
      </c>
      <c r="G59" s="9" t="s">
        <v>60</v>
      </c>
      <c r="H59" s="9">
        <v>30.0</v>
      </c>
      <c r="I59" s="9">
        <v>15.0</v>
      </c>
      <c r="J59" s="9"/>
      <c r="K59" s="9"/>
      <c r="L59" s="9"/>
      <c r="M59" s="9"/>
      <c r="N59" s="8"/>
    </row>
    <row r="60" ht="15.75" customHeight="1">
      <c r="A60" s="45" t="s">
        <v>61</v>
      </c>
      <c r="B60" s="9">
        <v>2019.0</v>
      </c>
      <c r="C60" s="9" t="s">
        <v>48</v>
      </c>
      <c r="D60" s="9" t="s">
        <v>49</v>
      </c>
      <c r="E60" s="52" t="s">
        <v>62</v>
      </c>
      <c r="F60" s="9" t="s">
        <v>51</v>
      </c>
      <c r="G60" s="9" t="s">
        <v>63</v>
      </c>
      <c r="H60" s="9">
        <v>60.0</v>
      </c>
      <c r="I60" s="9">
        <v>15.0</v>
      </c>
      <c r="J60" s="9"/>
      <c r="K60" s="9"/>
      <c r="L60" s="9"/>
      <c r="M60" s="9"/>
      <c r="N60" s="8"/>
    </row>
    <row r="61" ht="15.75" customHeight="1">
      <c r="A61" s="45" t="s">
        <v>64</v>
      </c>
      <c r="B61" s="9">
        <v>2019.0</v>
      </c>
      <c r="C61" s="9" t="s">
        <v>48</v>
      </c>
      <c r="D61" s="9" t="s">
        <v>49</v>
      </c>
      <c r="E61" s="52" t="s">
        <v>65</v>
      </c>
      <c r="F61" s="9" t="s">
        <v>51</v>
      </c>
      <c r="G61" s="14" t="s">
        <v>66</v>
      </c>
      <c r="H61" s="9">
        <v>20.0</v>
      </c>
      <c r="I61" s="9">
        <v>10.0</v>
      </c>
      <c r="J61" s="9"/>
      <c r="K61" s="9"/>
      <c r="L61" s="9"/>
      <c r="M61" s="9"/>
      <c r="N61" s="8"/>
    </row>
    <row r="62" ht="15.75" customHeight="1">
      <c r="A62" s="45" t="s">
        <v>67</v>
      </c>
      <c r="B62" s="9">
        <v>2019.0</v>
      </c>
      <c r="C62" s="9" t="s">
        <v>48</v>
      </c>
      <c r="D62" s="9" t="s">
        <v>49</v>
      </c>
      <c r="E62" s="52" t="s">
        <v>68</v>
      </c>
      <c r="F62" s="9" t="s">
        <v>51</v>
      </c>
      <c r="G62" s="14" t="s">
        <v>69</v>
      </c>
      <c r="H62" s="9">
        <v>60.0</v>
      </c>
      <c r="I62" s="9">
        <v>15.0</v>
      </c>
      <c r="J62" s="9"/>
      <c r="K62" s="9"/>
      <c r="L62" s="9"/>
      <c r="M62" s="9"/>
      <c r="N62" s="8"/>
    </row>
    <row r="63" ht="15.75" customHeight="1">
      <c r="A63" s="6" t="s">
        <v>70</v>
      </c>
      <c r="B63" s="27"/>
      <c r="C63" s="27"/>
      <c r="D63" s="27"/>
      <c r="E63" s="27"/>
      <c r="F63" s="27"/>
      <c r="G63" s="27"/>
      <c r="H63" s="27"/>
      <c r="I63" s="27"/>
      <c r="J63" s="27"/>
      <c r="K63" s="27"/>
      <c r="L63" s="27"/>
      <c r="M63" s="27"/>
      <c r="N63" s="27"/>
    </row>
    <row r="64" ht="15.75" customHeight="1">
      <c r="A64" s="7" t="s">
        <v>71</v>
      </c>
      <c r="B64" s="14">
        <f>COUNTA(B66:B71)</f>
        <v>6</v>
      </c>
      <c r="C64" s="14">
        <f>COUNT(B72)</f>
        <v>1</v>
      </c>
      <c r="D64" s="14">
        <f>COUNT(B73)</f>
        <v>1</v>
      </c>
      <c r="E64" s="14">
        <f>COUNT(B74:B75)</f>
        <v>2</v>
      </c>
      <c r="F64" s="14">
        <f>COUNT(B76)</f>
        <v>1</v>
      </c>
      <c r="G64" s="14">
        <v>0.0</v>
      </c>
      <c r="H64" s="14">
        <f>COUNT(B77)</f>
        <v>1</v>
      </c>
      <c r="I64" s="14">
        <f>COUNT(B78:B79)</f>
        <v>2</v>
      </c>
      <c r="J64" s="14">
        <f>COUNT(B80:B83)</f>
        <v>4</v>
      </c>
      <c r="K64" s="14">
        <f>COUNT(B84)</f>
        <v>1</v>
      </c>
      <c r="L64" s="36">
        <v>0.0</v>
      </c>
      <c r="M64" s="36">
        <v>0.0</v>
      </c>
      <c r="N64" s="47">
        <f>SUM(B64:M64)</f>
        <v>19</v>
      </c>
    </row>
    <row r="65" ht="15.75" customHeight="1">
      <c r="A65" s="48" t="s">
        <v>38</v>
      </c>
      <c r="B65" s="49" t="s">
        <v>39</v>
      </c>
      <c r="C65" s="49" t="s">
        <v>40</v>
      </c>
      <c r="D65" s="49" t="s">
        <v>41</v>
      </c>
      <c r="E65" s="49" t="s">
        <v>42</v>
      </c>
      <c r="F65" s="49" t="s">
        <v>43</v>
      </c>
      <c r="G65" s="49" t="s">
        <v>44</v>
      </c>
      <c r="H65" s="49" t="s">
        <v>45</v>
      </c>
      <c r="I65" s="49" t="s">
        <v>46</v>
      </c>
      <c r="J65" s="49"/>
      <c r="K65" s="50"/>
      <c r="L65" s="50"/>
      <c r="M65" s="50"/>
      <c r="N65" s="50"/>
      <c r="O65" s="51"/>
      <c r="P65" s="51"/>
      <c r="Q65" s="51"/>
      <c r="R65" s="51"/>
      <c r="S65" s="51"/>
      <c r="T65" s="51"/>
      <c r="U65" s="51"/>
      <c r="V65" s="51"/>
      <c r="AB65" s="51"/>
      <c r="AC65" s="51"/>
      <c r="AD65" s="51"/>
      <c r="AE65" s="51"/>
      <c r="AF65" s="51"/>
      <c r="AG65" s="51"/>
      <c r="AH65" s="51"/>
    </row>
    <row r="66" ht="15.75" customHeight="1">
      <c r="A66" s="45" t="s">
        <v>72</v>
      </c>
      <c r="B66" s="54">
        <v>45658.0</v>
      </c>
      <c r="C66" s="55">
        <v>46022.0</v>
      </c>
      <c r="D66" s="9" t="s">
        <v>73</v>
      </c>
      <c r="E66" s="9" t="s">
        <v>74</v>
      </c>
      <c r="F66" s="9" t="s">
        <v>51</v>
      </c>
      <c r="G66" s="9" t="s">
        <v>75</v>
      </c>
      <c r="H66" s="56" t="s">
        <v>76</v>
      </c>
      <c r="I66" s="56" t="s">
        <v>77</v>
      </c>
      <c r="J66" s="9"/>
      <c r="K66" s="9"/>
      <c r="L66" s="9"/>
      <c r="M66" s="9"/>
      <c r="N66" s="8"/>
    </row>
    <row r="67" ht="15.75" customHeight="1">
      <c r="A67" s="45" t="s">
        <v>78</v>
      </c>
      <c r="B67" s="54">
        <v>45658.0</v>
      </c>
      <c r="C67" s="55">
        <v>46022.0</v>
      </c>
      <c r="D67" s="9" t="s">
        <v>79</v>
      </c>
      <c r="E67" s="9" t="s">
        <v>80</v>
      </c>
      <c r="F67" s="9" t="s">
        <v>51</v>
      </c>
      <c r="G67" s="9" t="s">
        <v>81</v>
      </c>
      <c r="H67" s="9">
        <v>80.0</v>
      </c>
      <c r="I67" s="9">
        <v>11.0</v>
      </c>
      <c r="J67" s="9"/>
      <c r="K67" s="9"/>
      <c r="L67" s="9"/>
      <c r="M67" s="9"/>
      <c r="N67" s="8"/>
    </row>
    <row r="68" ht="15.75" customHeight="1">
      <c r="A68" s="45" t="s">
        <v>82</v>
      </c>
      <c r="B68" s="54">
        <v>45658.0</v>
      </c>
      <c r="C68" s="55">
        <v>46022.0</v>
      </c>
      <c r="D68" s="9" t="s">
        <v>49</v>
      </c>
      <c r="E68" s="9" t="s">
        <v>83</v>
      </c>
      <c r="F68" s="9" t="s">
        <v>51</v>
      </c>
      <c r="G68" s="9" t="s">
        <v>84</v>
      </c>
      <c r="H68" s="9">
        <v>300.0</v>
      </c>
      <c r="I68" s="9">
        <v>5.0</v>
      </c>
      <c r="J68" s="9"/>
      <c r="K68" s="9"/>
      <c r="L68" s="9"/>
      <c r="M68" s="9"/>
      <c r="N68" s="8"/>
    </row>
    <row r="69" ht="15.75" customHeight="1">
      <c r="A69" s="45" t="s">
        <v>85</v>
      </c>
      <c r="B69" s="54">
        <v>45658.0</v>
      </c>
      <c r="C69" s="55">
        <v>46022.0</v>
      </c>
      <c r="D69" s="9" t="s">
        <v>49</v>
      </c>
      <c r="E69" s="57" t="s">
        <v>86</v>
      </c>
      <c r="F69" s="9" t="s">
        <v>51</v>
      </c>
      <c r="G69" s="9" t="s">
        <v>87</v>
      </c>
      <c r="H69" s="9">
        <v>100.0</v>
      </c>
      <c r="I69" s="9">
        <v>100.0</v>
      </c>
      <c r="J69" s="9"/>
      <c r="K69" s="9"/>
      <c r="L69" s="9"/>
      <c r="M69" s="9"/>
      <c r="N69" s="8"/>
    </row>
    <row r="70" ht="15.75" customHeight="1">
      <c r="A70" s="45" t="s">
        <v>88</v>
      </c>
      <c r="B70" s="54">
        <v>45658.0</v>
      </c>
      <c r="C70" s="55">
        <v>46022.0</v>
      </c>
      <c r="D70" s="9" t="s">
        <v>89</v>
      </c>
      <c r="E70" s="9" t="s">
        <v>90</v>
      </c>
      <c r="F70" s="9" t="s">
        <v>91</v>
      </c>
      <c r="G70" s="9" t="s">
        <v>87</v>
      </c>
      <c r="H70" s="9">
        <v>100.0</v>
      </c>
      <c r="I70" s="9">
        <v>50.0</v>
      </c>
      <c r="J70" s="9"/>
      <c r="K70" s="9"/>
      <c r="L70" s="9"/>
      <c r="M70" s="9"/>
      <c r="N70" s="8"/>
    </row>
    <row r="71" ht="15.75" customHeight="1">
      <c r="A71" s="36" t="s">
        <v>92</v>
      </c>
      <c r="B71" s="54">
        <v>45676.0</v>
      </c>
      <c r="C71" s="9" t="s">
        <v>48</v>
      </c>
      <c r="D71" s="58" t="s">
        <v>49</v>
      </c>
      <c r="E71" s="9" t="s">
        <v>93</v>
      </c>
      <c r="F71" s="58" t="s">
        <v>51</v>
      </c>
      <c r="G71" s="58" t="s">
        <v>94</v>
      </c>
      <c r="H71" s="9">
        <v>58.0</v>
      </c>
      <c r="I71" s="9">
        <v>8.0</v>
      </c>
      <c r="J71" s="9"/>
      <c r="K71" s="9"/>
      <c r="L71" s="9"/>
      <c r="M71" s="9"/>
      <c r="N71" s="8"/>
    </row>
    <row r="72" ht="15.75" customHeight="1">
      <c r="A72" s="45" t="s">
        <v>95</v>
      </c>
      <c r="B72" s="54">
        <v>45702.0</v>
      </c>
      <c r="C72" s="54">
        <v>45710.0</v>
      </c>
      <c r="D72" s="9" t="s">
        <v>96</v>
      </c>
      <c r="E72" s="59" t="s">
        <v>97</v>
      </c>
      <c r="F72" s="58" t="s">
        <v>98</v>
      </c>
      <c r="G72" s="58" t="s">
        <v>99</v>
      </c>
      <c r="H72" s="58">
        <v>55.0</v>
      </c>
      <c r="I72" s="58">
        <v>45.0</v>
      </c>
      <c r="J72" s="58"/>
      <c r="K72" s="9"/>
      <c r="L72" s="9"/>
      <c r="M72" s="9"/>
      <c r="N72" s="8"/>
    </row>
    <row r="73" ht="15.75" customHeight="1">
      <c r="A73" s="45" t="s">
        <v>100</v>
      </c>
      <c r="B73" s="60">
        <v>45742.0</v>
      </c>
      <c r="C73" s="58" t="s">
        <v>48</v>
      </c>
      <c r="D73" s="58" t="s">
        <v>101</v>
      </c>
      <c r="E73" s="9" t="s">
        <v>102</v>
      </c>
      <c r="F73" s="58" t="s">
        <v>98</v>
      </c>
      <c r="G73" s="58" t="s">
        <v>99</v>
      </c>
      <c r="H73" s="58">
        <v>30.0</v>
      </c>
      <c r="I73" s="58">
        <v>3.0</v>
      </c>
      <c r="J73" s="58"/>
      <c r="K73" s="9"/>
      <c r="L73" s="9"/>
      <c r="M73" s="9"/>
      <c r="N73" s="8"/>
    </row>
    <row r="74" ht="15.75" customHeight="1">
      <c r="A74" s="45" t="s">
        <v>103</v>
      </c>
      <c r="B74" s="54">
        <v>45773.0</v>
      </c>
      <c r="C74" s="54">
        <v>45801.0</v>
      </c>
      <c r="D74" s="9" t="s">
        <v>49</v>
      </c>
      <c r="E74" s="9" t="s">
        <v>104</v>
      </c>
      <c r="F74" s="58" t="s">
        <v>98</v>
      </c>
      <c r="G74" s="58" t="s">
        <v>105</v>
      </c>
      <c r="H74" s="58">
        <v>77.0</v>
      </c>
      <c r="I74" s="58">
        <v>22.0</v>
      </c>
      <c r="J74" s="58"/>
      <c r="K74" s="9"/>
      <c r="L74" s="9"/>
      <c r="M74" s="9"/>
      <c r="N74" s="8"/>
    </row>
    <row r="75" ht="15.75" customHeight="1">
      <c r="A75" s="45" t="s">
        <v>106</v>
      </c>
      <c r="B75" s="54">
        <v>45752.0</v>
      </c>
      <c r="C75" s="55" t="s">
        <v>107</v>
      </c>
      <c r="D75" s="9" t="s">
        <v>49</v>
      </c>
      <c r="E75" s="59" t="s">
        <v>108</v>
      </c>
      <c r="F75" s="58" t="s">
        <v>51</v>
      </c>
      <c r="G75" s="58" t="s">
        <v>109</v>
      </c>
      <c r="H75" s="58">
        <v>60.0</v>
      </c>
      <c r="I75" s="58">
        <v>60.0</v>
      </c>
      <c r="J75" s="58"/>
      <c r="K75" s="9"/>
      <c r="L75" s="9"/>
      <c r="M75" s="9"/>
      <c r="N75" s="8"/>
    </row>
    <row r="76" ht="15.75" customHeight="1">
      <c r="A76" s="45" t="s">
        <v>110</v>
      </c>
      <c r="B76" s="54">
        <v>45782.0</v>
      </c>
      <c r="C76" s="54">
        <v>45927.0</v>
      </c>
      <c r="D76" s="9" t="s">
        <v>89</v>
      </c>
      <c r="E76" s="9" t="s">
        <v>111</v>
      </c>
      <c r="F76" s="58" t="s">
        <v>98</v>
      </c>
      <c r="G76" s="58" t="s">
        <v>112</v>
      </c>
      <c r="H76" s="58">
        <v>10.0</v>
      </c>
      <c r="I76" s="58">
        <v>10.0</v>
      </c>
      <c r="J76" s="58"/>
      <c r="K76" s="9"/>
      <c r="L76" s="9"/>
      <c r="M76" s="9"/>
      <c r="N76" s="8"/>
    </row>
    <row r="77" ht="15.75" customHeight="1">
      <c r="A77" s="45" t="s">
        <v>113</v>
      </c>
      <c r="B77" s="54">
        <v>45861.0</v>
      </c>
      <c r="C77" s="55">
        <v>46011.0</v>
      </c>
      <c r="D77" s="58" t="s">
        <v>114</v>
      </c>
      <c r="E77" s="59" t="s">
        <v>115</v>
      </c>
      <c r="F77" s="58" t="s">
        <v>51</v>
      </c>
      <c r="G77" s="58" t="s">
        <v>105</v>
      </c>
      <c r="H77" s="58">
        <v>150.0</v>
      </c>
      <c r="I77" s="58">
        <v>10.0</v>
      </c>
      <c r="J77" s="58"/>
      <c r="K77" s="9"/>
      <c r="L77" s="9"/>
      <c r="M77" s="9"/>
      <c r="N77" s="8"/>
    </row>
    <row r="78" ht="15.75" customHeight="1">
      <c r="A78" s="45" t="s">
        <v>116</v>
      </c>
      <c r="B78" s="54">
        <v>45874.0</v>
      </c>
      <c r="C78" s="55">
        <v>45989.0</v>
      </c>
      <c r="D78" s="9" t="s">
        <v>89</v>
      </c>
      <c r="E78" s="9" t="s">
        <v>117</v>
      </c>
      <c r="F78" s="9" t="s">
        <v>98</v>
      </c>
      <c r="G78" s="9" t="s">
        <v>118</v>
      </c>
      <c r="H78" s="9">
        <v>30.0</v>
      </c>
      <c r="I78" s="9">
        <v>30.0</v>
      </c>
      <c r="J78" s="9"/>
      <c r="K78" s="9"/>
      <c r="L78" s="9"/>
      <c r="M78" s="9"/>
      <c r="N78" s="8"/>
    </row>
    <row r="79" ht="15.75" customHeight="1">
      <c r="A79" s="45" t="s">
        <v>119</v>
      </c>
      <c r="B79" s="54">
        <v>45891.0</v>
      </c>
      <c r="C79" s="54">
        <v>45892.0</v>
      </c>
      <c r="D79" s="9" t="s">
        <v>120</v>
      </c>
      <c r="E79" s="9" t="s">
        <v>121</v>
      </c>
      <c r="F79" s="58" t="s">
        <v>51</v>
      </c>
      <c r="G79" s="58" t="s">
        <v>122</v>
      </c>
      <c r="H79" s="58">
        <v>100.0</v>
      </c>
      <c r="I79" s="58">
        <v>100.0</v>
      </c>
      <c r="J79" s="58"/>
      <c r="K79" s="58"/>
      <c r="L79" s="58"/>
      <c r="M79" s="9"/>
      <c r="N79" s="8"/>
    </row>
    <row r="80" ht="15.75" customHeight="1">
      <c r="A80" s="45" t="s">
        <v>123</v>
      </c>
      <c r="B80" s="54">
        <v>45916.0</v>
      </c>
      <c r="C80" s="61">
        <v>46646.0</v>
      </c>
      <c r="D80" s="9" t="s">
        <v>49</v>
      </c>
      <c r="E80" s="62" t="s">
        <v>124</v>
      </c>
      <c r="F80" s="9" t="s">
        <v>98</v>
      </c>
      <c r="G80" s="63" t="s">
        <v>125</v>
      </c>
      <c r="H80" s="63">
        <v>5.0</v>
      </c>
      <c r="I80" s="58">
        <v>1.0</v>
      </c>
      <c r="J80" s="58"/>
      <c r="K80" s="58"/>
      <c r="L80" s="58"/>
      <c r="M80" s="9"/>
      <c r="N80" s="8"/>
    </row>
    <row r="81" ht="15.75" customHeight="1">
      <c r="A81" s="64" t="s">
        <v>126</v>
      </c>
      <c r="B81" s="65">
        <v>45917.0</v>
      </c>
      <c r="C81" s="66" t="s">
        <v>127</v>
      </c>
      <c r="D81" s="58" t="s">
        <v>128</v>
      </c>
      <c r="E81" s="62" t="s">
        <v>129</v>
      </c>
      <c r="F81" s="58" t="s">
        <v>51</v>
      </c>
      <c r="G81" s="67" t="s">
        <v>130</v>
      </c>
      <c r="H81" s="59">
        <v>160.0</v>
      </c>
      <c r="I81" s="58">
        <v>2000.0</v>
      </c>
      <c r="J81" s="58"/>
      <c r="K81" s="9"/>
      <c r="L81" s="9"/>
      <c r="M81" s="9"/>
      <c r="N81" s="8"/>
    </row>
    <row r="82" ht="15.75" customHeight="1">
      <c r="A82" s="45" t="s">
        <v>131</v>
      </c>
      <c r="B82" s="60">
        <v>45911.0</v>
      </c>
      <c r="C82" s="58" t="s">
        <v>48</v>
      </c>
      <c r="D82" s="58" t="s">
        <v>49</v>
      </c>
      <c r="E82" s="58" t="s">
        <v>132</v>
      </c>
      <c r="F82" s="58" t="s">
        <v>51</v>
      </c>
      <c r="G82" s="58" t="s">
        <v>133</v>
      </c>
      <c r="H82" s="58">
        <v>10.0</v>
      </c>
      <c r="I82" s="58">
        <v>100.0</v>
      </c>
      <c r="J82" s="58"/>
      <c r="K82" s="58"/>
      <c r="L82" s="58"/>
      <c r="M82" s="9"/>
      <c r="N82" s="8"/>
    </row>
    <row r="83" ht="15.75" customHeight="1">
      <c r="A83" s="45" t="s">
        <v>103</v>
      </c>
      <c r="B83" s="54">
        <v>45926.0</v>
      </c>
      <c r="C83" s="54">
        <v>45941.0</v>
      </c>
      <c r="D83" s="9" t="s">
        <v>49</v>
      </c>
      <c r="E83" s="9" t="s">
        <v>104</v>
      </c>
      <c r="F83" s="58" t="s">
        <v>98</v>
      </c>
      <c r="G83" s="58" t="s">
        <v>105</v>
      </c>
      <c r="H83" s="58">
        <v>70.0</v>
      </c>
      <c r="I83" s="58">
        <v>22.0</v>
      </c>
      <c r="J83" s="58"/>
      <c r="K83" s="58"/>
      <c r="L83" s="58"/>
      <c r="M83" s="9"/>
      <c r="N83" s="8"/>
    </row>
    <row r="84" ht="15.75" customHeight="1">
      <c r="A84" s="45" t="s">
        <v>106</v>
      </c>
      <c r="B84" s="54">
        <v>45956.0</v>
      </c>
      <c r="C84" s="55">
        <v>45958.0</v>
      </c>
      <c r="D84" s="9" t="s">
        <v>49</v>
      </c>
      <c r="E84" s="59" t="s">
        <v>108</v>
      </c>
      <c r="F84" s="58" t="s">
        <v>51</v>
      </c>
      <c r="G84" s="58" t="s">
        <v>109</v>
      </c>
      <c r="H84" s="58">
        <v>60.0</v>
      </c>
      <c r="I84" s="58">
        <v>60.0</v>
      </c>
      <c r="J84" s="58"/>
      <c r="K84" s="58"/>
      <c r="L84" s="9"/>
      <c r="M84" s="9"/>
      <c r="N84" s="8"/>
    </row>
    <row r="85" ht="15.75" customHeight="1">
      <c r="A85" s="6" t="s">
        <v>134</v>
      </c>
      <c r="B85" s="27"/>
      <c r="C85" s="27"/>
      <c r="D85" s="27"/>
      <c r="E85" s="27"/>
      <c r="F85" s="27"/>
      <c r="G85" s="27"/>
      <c r="H85" s="27"/>
      <c r="I85" s="27"/>
      <c r="J85" s="27"/>
      <c r="K85" s="27"/>
      <c r="L85" s="27"/>
      <c r="M85" s="27"/>
      <c r="N85" s="27"/>
    </row>
    <row r="86" ht="15.75" customHeight="1">
      <c r="A86" s="7" t="s">
        <v>135</v>
      </c>
      <c r="B86" s="9">
        <f>COUNT(B88:B111)</f>
        <v>20</v>
      </c>
      <c r="C86" s="9">
        <f>COUNT(B112:B143)</f>
        <v>28</v>
      </c>
      <c r="D86" s="9">
        <f>COUNT(B144:B196)</f>
        <v>48</v>
      </c>
      <c r="E86" s="9">
        <f>COUNT(B197:B242)</f>
        <v>36</v>
      </c>
      <c r="F86" s="9">
        <f>COUNT(B243:B281)</f>
        <v>34</v>
      </c>
      <c r="G86" s="9">
        <f>COUNT(B282:B317)</f>
        <v>31</v>
      </c>
      <c r="H86" s="9">
        <f>COUNT(B318:B342)</f>
        <v>23</v>
      </c>
      <c r="I86" s="9">
        <f>COUNT(B343:B348)</f>
        <v>5</v>
      </c>
      <c r="J86" s="9">
        <f>COUNT(B349:B411)</f>
        <v>56</v>
      </c>
      <c r="K86" s="9">
        <f>COUNT(B412:B502)</f>
        <v>86</v>
      </c>
      <c r="L86" s="9">
        <f>COUNT(B502:B608)</f>
        <v>104</v>
      </c>
      <c r="M86" s="9">
        <f>COUNT(B609:B721)</f>
        <v>110</v>
      </c>
      <c r="N86" s="47">
        <f>SUM(B86:M86)</f>
        <v>581</v>
      </c>
    </row>
    <row r="87" ht="15.75" customHeight="1">
      <c r="A87" s="48" t="s">
        <v>38</v>
      </c>
      <c r="B87" s="49" t="s">
        <v>136</v>
      </c>
      <c r="C87" s="49" t="s">
        <v>41</v>
      </c>
      <c r="D87" s="49" t="s">
        <v>42</v>
      </c>
      <c r="E87" s="49" t="s">
        <v>43</v>
      </c>
      <c r="F87" s="49" t="s">
        <v>44</v>
      </c>
      <c r="G87" s="49" t="s">
        <v>45</v>
      </c>
      <c r="H87" s="49" t="s">
        <v>46</v>
      </c>
      <c r="I87" s="49"/>
      <c r="J87" s="50"/>
      <c r="K87" s="50"/>
      <c r="L87" s="50"/>
      <c r="M87" s="50"/>
      <c r="N87" s="50"/>
      <c r="O87" s="51"/>
      <c r="P87" s="51"/>
      <c r="Q87" s="51"/>
      <c r="R87" s="51"/>
      <c r="S87" s="51"/>
      <c r="T87" s="51"/>
      <c r="U87" s="51"/>
      <c r="AB87" s="51"/>
      <c r="AC87" s="51"/>
      <c r="AD87" s="51"/>
      <c r="AE87" s="51"/>
      <c r="AF87" s="51"/>
      <c r="AG87" s="51"/>
      <c r="AH87" s="51"/>
    </row>
    <row r="88" ht="15.75" customHeight="1">
      <c r="A88" s="64" t="s">
        <v>137</v>
      </c>
      <c r="B88" s="60">
        <v>45666.0</v>
      </c>
      <c r="C88" s="58" t="s">
        <v>138</v>
      </c>
      <c r="D88" s="58" t="s">
        <v>139</v>
      </c>
      <c r="E88" s="68" t="s">
        <v>51</v>
      </c>
      <c r="F88" s="59" t="s">
        <v>140</v>
      </c>
      <c r="G88" s="62"/>
      <c r="H88" s="62"/>
      <c r="I88" s="58"/>
      <c r="J88" s="58"/>
      <c r="K88" s="58"/>
      <c r="L88" s="58"/>
      <c r="M88" s="58"/>
      <c r="N88" s="8"/>
    </row>
    <row r="89" ht="15.75" customHeight="1">
      <c r="A89" s="64" t="s">
        <v>141</v>
      </c>
      <c r="B89" s="60">
        <v>45680.770833333336</v>
      </c>
      <c r="C89" s="58" t="s">
        <v>142</v>
      </c>
      <c r="D89" s="58" t="s">
        <v>143</v>
      </c>
      <c r="E89" s="68" t="s">
        <v>51</v>
      </c>
      <c r="F89" s="59" t="s">
        <v>144</v>
      </c>
      <c r="G89" s="62"/>
      <c r="H89" s="62"/>
      <c r="I89" s="58"/>
      <c r="J89" s="58"/>
      <c r="K89" s="58"/>
      <c r="L89" s="58"/>
      <c r="M89" s="58"/>
      <c r="N89" s="8"/>
    </row>
    <row r="90" ht="15.75" customHeight="1">
      <c r="A90" s="69" t="s">
        <v>145</v>
      </c>
      <c r="B90" s="60">
        <v>45681.5625</v>
      </c>
      <c r="C90" s="58" t="s">
        <v>142</v>
      </c>
      <c r="D90" s="58" t="s">
        <v>146</v>
      </c>
      <c r="E90" s="68" t="s">
        <v>51</v>
      </c>
      <c r="F90" s="59" t="s">
        <v>147</v>
      </c>
      <c r="G90" s="62"/>
      <c r="H90" s="62"/>
      <c r="I90" s="58"/>
      <c r="J90" s="58"/>
      <c r="K90" s="58"/>
      <c r="L90" s="58"/>
      <c r="M90" s="58"/>
      <c r="N90" s="8"/>
    </row>
    <row r="91" ht="15.75" customHeight="1">
      <c r="A91" s="69" t="s">
        <v>148</v>
      </c>
      <c r="B91" s="60">
        <v>45685.75</v>
      </c>
      <c r="C91" s="58" t="s">
        <v>142</v>
      </c>
      <c r="D91" s="59" t="s">
        <v>149</v>
      </c>
      <c r="E91" s="68" t="s">
        <v>51</v>
      </c>
      <c r="F91" s="59" t="s">
        <v>150</v>
      </c>
      <c r="G91" s="62"/>
      <c r="H91" s="62"/>
      <c r="I91" s="58"/>
      <c r="J91" s="58"/>
      <c r="K91" s="58"/>
      <c r="L91" s="58"/>
      <c r="M91" s="58"/>
      <c r="N91" s="8"/>
    </row>
    <row r="92" ht="15.75" customHeight="1">
      <c r="A92" s="69" t="s">
        <v>151</v>
      </c>
      <c r="B92" s="60">
        <v>45687.958333333336</v>
      </c>
      <c r="C92" s="58" t="s">
        <v>142</v>
      </c>
      <c r="D92" s="59" t="s">
        <v>152</v>
      </c>
      <c r="E92" s="68" t="s">
        <v>51</v>
      </c>
      <c r="F92" s="59" t="s">
        <v>153</v>
      </c>
      <c r="G92" s="62"/>
      <c r="H92" s="62"/>
      <c r="I92" s="58"/>
      <c r="J92" s="58"/>
      <c r="K92" s="58"/>
      <c r="L92" s="58"/>
      <c r="M92" s="58"/>
      <c r="N92" s="8"/>
    </row>
    <row r="93" ht="15.75" customHeight="1">
      <c r="A93" s="69" t="s">
        <v>154</v>
      </c>
      <c r="B93" s="60">
        <v>45685.625</v>
      </c>
      <c r="C93" s="58" t="s">
        <v>155</v>
      </c>
      <c r="D93" s="59" t="s">
        <v>156</v>
      </c>
      <c r="E93" s="68" t="s">
        <v>51</v>
      </c>
      <c r="F93" s="59" t="s">
        <v>157</v>
      </c>
      <c r="G93" s="62"/>
      <c r="H93" s="62"/>
      <c r="I93" s="58"/>
      <c r="J93" s="58"/>
      <c r="K93" s="58"/>
      <c r="L93" s="58"/>
      <c r="M93" s="58"/>
      <c r="N93" s="8"/>
    </row>
    <row r="94" ht="15.75" customHeight="1">
      <c r="A94" s="64" t="s">
        <v>158</v>
      </c>
      <c r="B94" s="60">
        <v>45688.541666666664</v>
      </c>
      <c r="C94" s="58" t="s">
        <v>155</v>
      </c>
      <c r="D94" s="59" t="s">
        <v>159</v>
      </c>
      <c r="E94" s="68" t="s">
        <v>51</v>
      </c>
      <c r="F94" s="59" t="s">
        <v>160</v>
      </c>
      <c r="G94" s="62"/>
      <c r="H94" s="62"/>
      <c r="I94" s="58"/>
      <c r="J94" s="58"/>
      <c r="K94" s="58"/>
      <c r="L94" s="58"/>
      <c r="M94" s="58"/>
      <c r="N94" s="8"/>
    </row>
    <row r="95" ht="15.75" customHeight="1">
      <c r="A95" s="69" t="s">
        <v>161</v>
      </c>
      <c r="B95" s="60">
        <v>45667.958333333336</v>
      </c>
      <c r="C95" s="58" t="s">
        <v>162</v>
      </c>
      <c r="D95" s="58" t="s">
        <v>163</v>
      </c>
      <c r="E95" s="68" t="s">
        <v>51</v>
      </c>
      <c r="F95" s="59" t="s">
        <v>164</v>
      </c>
      <c r="G95" s="62"/>
      <c r="H95" s="62"/>
      <c r="I95" s="58"/>
      <c r="J95" s="58"/>
      <c r="K95" s="58"/>
      <c r="L95" s="58"/>
      <c r="M95" s="58"/>
      <c r="N95" s="8"/>
    </row>
    <row r="96" ht="15.75" customHeight="1">
      <c r="A96" s="69" t="s">
        <v>165</v>
      </c>
      <c r="B96" s="58" t="s">
        <v>166</v>
      </c>
      <c r="C96" s="58" t="s">
        <v>162</v>
      </c>
      <c r="D96" s="58" t="s">
        <v>167</v>
      </c>
      <c r="E96" s="68" t="s">
        <v>51</v>
      </c>
      <c r="F96" s="59" t="s">
        <v>168</v>
      </c>
      <c r="G96" s="62"/>
      <c r="H96" s="62"/>
      <c r="I96" s="58"/>
      <c r="J96" s="58"/>
      <c r="K96" s="58"/>
      <c r="L96" s="58"/>
      <c r="M96" s="58"/>
      <c r="N96" s="8"/>
    </row>
    <row r="97" ht="15.75" customHeight="1">
      <c r="A97" s="64" t="s">
        <v>169</v>
      </c>
      <c r="B97" s="60">
        <v>45685.541666666664</v>
      </c>
      <c r="C97" s="58" t="s">
        <v>162</v>
      </c>
      <c r="D97" s="58" t="s">
        <v>149</v>
      </c>
      <c r="E97" s="68" t="s">
        <v>51</v>
      </c>
      <c r="F97" s="59" t="s">
        <v>150</v>
      </c>
      <c r="G97" s="62"/>
      <c r="H97" s="62"/>
      <c r="I97" s="58"/>
      <c r="J97" s="58"/>
      <c r="K97" s="58"/>
      <c r="L97" s="58"/>
      <c r="M97" s="58"/>
      <c r="N97" s="8"/>
    </row>
    <row r="98" ht="15.75" customHeight="1">
      <c r="A98" s="64" t="s">
        <v>170</v>
      </c>
      <c r="B98" s="60">
        <v>45686.916666666664</v>
      </c>
      <c r="C98" s="58" t="s">
        <v>162</v>
      </c>
      <c r="D98" s="58" t="s">
        <v>171</v>
      </c>
      <c r="E98" s="68" t="s">
        <v>51</v>
      </c>
      <c r="F98" s="59" t="s">
        <v>157</v>
      </c>
      <c r="G98" s="62"/>
      <c r="H98" s="62"/>
      <c r="I98" s="58"/>
      <c r="J98" s="58"/>
      <c r="K98" s="58"/>
      <c r="L98" s="58"/>
      <c r="M98" s="58"/>
      <c r="N98" s="8"/>
    </row>
    <row r="99" ht="15.75" customHeight="1">
      <c r="A99" s="64" t="s">
        <v>172</v>
      </c>
      <c r="B99" s="60">
        <v>45687.916666666664</v>
      </c>
      <c r="C99" s="58" t="s">
        <v>162</v>
      </c>
      <c r="D99" s="58" t="s">
        <v>146</v>
      </c>
      <c r="E99" s="68" t="s">
        <v>51</v>
      </c>
      <c r="F99" s="59" t="s">
        <v>147</v>
      </c>
      <c r="G99" s="62"/>
      <c r="H99" s="62"/>
      <c r="I99" s="58"/>
      <c r="J99" s="58"/>
      <c r="K99" s="58"/>
      <c r="L99" s="58"/>
      <c r="M99" s="58"/>
      <c r="N99" s="8"/>
    </row>
    <row r="100" ht="15.75" customHeight="1">
      <c r="A100" s="64" t="s">
        <v>173</v>
      </c>
      <c r="B100" s="60">
        <v>45688.75</v>
      </c>
      <c r="C100" s="58" t="s">
        <v>162</v>
      </c>
      <c r="D100" s="58" t="s">
        <v>174</v>
      </c>
      <c r="E100" s="68" t="s">
        <v>51</v>
      </c>
      <c r="F100" s="59" t="s">
        <v>164</v>
      </c>
      <c r="G100" s="62"/>
      <c r="H100" s="62"/>
      <c r="I100" s="58"/>
      <c r="J100" s="58"/>
      <c r="K100" s="58"/>
      <c r="L100" s="58"/>
      <c r="M100" s="58"/>
      <c r="N100" s="8"/>
    </row>
    <row r="101" ht="15.75" customHeight="1">
      <c r="A101" s="64" t="s">
        <v>148</v>
      </c>
      <c r="B101" s="60">
        <v>45685.75</v>
      </c>
      <c r="C101" s="58" t="s">
        <v>175</v>
      </c>
      <c r="D101" s="59" t="s">
        <v>176</v>
      </c>
      <c r="E101" s="68" t="s">
        <v>51</v>
      </c>
      <c r="F101" s="59" t="s">
        <v>150</v>
      </c>
      <c r="G101" s="62"/>
      <c r="H101" s="62"/>
      <c r="I101" s="58"/>
      <c r="J101" s="58"/>
      <c r="K101" s="58"/>
      <c r="L101" s="58"/>
      <c r="M101" s="58"/>
      <c r="N101" s="8"/>
    </row>
    <row r="102" ht="15.75" customHeight="1">
      <c r="A102" s="64" t="s">
        <v>177</v>
      </c>
      <c r="B102" s="60">
        <v>45686.5625</v>
      </c>
      <c r="C102" s="58" t="s">
        <v>175</v>
      </c>
      <c r="D102" s="59" t="s">
        <v>178</v>
      </c>
      <c r="E102" s="68" t="s">
        <v>51</v>
      </c>
      <c r="F102" s="59" t="s">
        <v>157</v>
      </c>
      <c r="G102" s="62"/>
      <c r="H102" s="62"/>
      <c r="I102" s="58"/>
      <c r="J102" s="58"/>
      <c r="K102" s="58"/>
      <c r="L102" s="58"/>
      <c r="M102" s="58"/>
      <c r="N102" s="8"/>
    </row>
    <row r="103" ht="15.75" customHeight="1">
      <c r="A103" s="64" t="s">
        <v>165</v>
      </c>
      <c r="B103" s="58" t="s">
        <v>179</v>
      </c>
      <c r="C103" s="58" t="s">
        <v>180</v>
      </c>
      <c r="D103" s="58" t="s">
        <v>181</v>
      </c>
      <c r="E103" s="68" t="s">
        <v>51</v>
      </c>
      <c r="F103" s="59" t="s">
        <v>168</v>
      </c>
      <c r="G103" s="62"/>
      <c r="H103" s="62"/>
      <c r="I103" s="58"/>
      <c r="J103" s="58"/>
      <c r="K103" s="58"/>
      <c r="L103" s="58"/>
      <c r="M103" s="58"/>
      <c r="N103" s="8"/>
    </row>
    <row r="104" ht="15.75" customHeight="1">
      <c r="A104" s="64" t="s">
        <v>182</v>
      </c>
      <c r="B104" s="60">
        <v>45687.958333333336</v>
      </c>
      <c r="C104" s="58" t="s">
        <v>180</v>
      </c>
      <c r="D104" s="58" t="s">
        <v>183</v>
      </c>
      <c r="E104" s="68" t="s">
        <v>51</v>
      </c>
      <c r="F104" s="59" t="s">
        <v>160</v>
      </c>
      <c r="G104" s="62"/>
      <c r="H104" s="62"/>
      <c r="I104" s="58"/>
      <c r="J104" s="58"/>
      <c r="K104" s="58"/>
      <c r="L104" s="58"/>
      <c r="M104" s="58"/>
      <c r="N104" s="8"/>
    </row>
    <row r="105" ht="15.75" customHeight="1">
      <c r="A105" s="64" t="s">
        <v>184</v>
      </c>
      <c r="B105" s="60">
        <v>45665.0</v>
      </c>
      <c r="C105" s="58" t="s">
        <v>155</v>
      </c>
      <c r="D105" s="58" t="s">
        <v>146</v>
      </c>
      <c r="E105" s="68" t="s">
        <v>51</v>
      </c>
      <c r="F105" s="59" t="s">
        <v>147</v>
      </c>
      <c r="G105" s="62"/>
      <c r="H105" s="62"/>
      <c r="I105" s="58"/>
      <c r="J105" s="58"/>
      <c r="K105" s="58"/>
      <c r="L105" s="58"/>
      <c r="M105" s="58"/>
      <c r="N105" s="8"/>
    </row>
    <row r="106" ht="15.75" customHeight="1">
      <c r="A106" s="64" t="s">
        <v>185</v>
      </c>
      <c r="B106" s="60">
        <v>45672.0</v>
      </c>
      <c r="C106" s="58" t="s">
        <v>186</v>
      </c>
      <c r="D106" s="58" t="s">
        <v>146</v>
      </c>
      <c r="E106" s="68" t="s">
        <v>51</v>
      </c>
      <c r="F106" s="59" t="s">
        <v>147</v>
      </c>
      <c r="G106" s="62"/>
      <c r="H106" s="62"/>
      <c r="I106" s="58"/>
      <c r="J106" s="58"/>
      <c r="K106" s="58"/>
      <c r="L106" s="58"/>
      <c r="M106" s="58"/>
      <c r="N106" s="8"/>
    </row>
    <row r="107" ht="15.75" customHeight="1">
      <c r="A107" s="64" t="s">
        <v>187</v>
      </c>
      <c r="B107" s="58" t="s">
        <v>188</v>
      </c>
      <c r="C107" s="58" t="s">
        <v>189</v>
      </c>
      <c r="D107" s="58" t="s">
        <v>146</v>
      </c>
      <c r="E107" s="68" t="s">
        <v>51</v>
      </c>
      <c r="F107" s="59" t="s">
        <v>147</v>
      </c>
      <c r="G107" s="62"/>
      <c r="H107" s="62"/>
      <c r="I107" s="58"/>
      <c r="J107" s="58"/>
      <c r="K107" s="58"/>
      <c r="L107" s="58"/>
      <c r="M107" s="58"/>
      <c r="N107" s="8"/>
    </row>
    <row r="108" ht="15.75" customHeight="1">
      <c r="A108" s="69" t="s">
        <v>190</v>
      </c>
      <c r="B108" s="60">
        <v>45686.75</v>
      </c>
      <c r="C108" s="58" t="s">
        <v>189</v>
      </c>
      <c r="D108" s="58" t="s">
        <v>146</v>
      </c>
      <c r="E108" s="68" t="s">
        <v>51</v>
      </c>
      <c r="F108" s="59" t="s">
        <v>147</v>
      </c>
      <c r="G108" s="62"/>
      <c r="H108" s="62"/>
      <c r="I108" s="58"/>
      <c r="J108" s="58"/>
      <c r="K108" s="58"/>
      <c r="L108" s="58"/>
      <c r="M108" s="58"/>
      <c r="N108" s="8"/>
    </row>
    <row r="109" ht="15.75" customHeight="1">
      <c r="A109" s="69" t="s">
        <v>191</v>
      </c>
      <c r="B109" s="60">
        <v>45673.0</v>
      </c>
      <c r="C109" s="58" t="s">
        <v>192</v>
      </c>
      <c r="D109" s="59" t="s">
        <v>193</v>
      </c>
      <c r="E109" s="68" t="s">
        <v>51</v>
      </c>
      <c r="F109" s="59" t="s">
        <v>147</v>
      </c>
      <c r="G109" s="62"/>
      <c r="H109" s="62"/>
      <c r="I109" s="58"/>
      <c r="J109" s="58"/>
      <c r="K109" s="58"/>
      <c r="L109" s="58"/>
      <c r="M109" s="58"/>
      <c r="N109" s="8"/>
    </row>
    <row r="110" ht="15.75" customHeight="1">
      <c r="A110" s="70" t="s">
        <v>194</v>
      </c>
      <c r="B110" s="71" t="s">
        <v>195</v>
      </c>
      <c r="C110" s="71" t="s">
        <v>196</v>
      </c>
      <c r="D110" s="71" t="s">
        <v>197</v>
      </c>
      <c r="E110" s="72" t="s">
        <v>51</v>
      </c>
      <c r="F110" s="71" t="s">
        <v>198</v>
      </c>
      <c r="G110" s="62"/>
      <c r="H110" s="62"/>
      <c r="I110" s="58"/>
      <c r="J110" s="58"/>
      <c r="K110" s="58"/>
      <c r="L110" s="58"/>
      <c r="M110" s="58"/>
      <c r="N110" s="8"/>
    </row>
    <row r="111" ht="15.75" customHeight="1">
      <c r="A111" s="69" t="s">
        <v>199</v>
      </c>
      <c r="B111" s="60">
        <v>45687.0</v>
      </c>
      <c r="C111" s="58" t="s">
        <v>200</v>
      </c>
      <c r="D111" s="59" t="s">
        <v>201</v>
      </c>
      <c r="E111" s="68" t="s">
        <v>51</v>
      </c>
      <c r="F111" s="59" t="s">
        <v>164</v>
      </c>
      <c r="G111" s="62"/>
      <c r="H111" s="62"/>
      <c r="I111" s="58"/>
      <c r="J111" s="58"/>
      <c r="K111" s="58"/>
      <c r="L111" s="58"/>
      <c r="M111" s="58"/>
      <c r="N111" s="8"/>
    </row>
    <row r="112" ht="15.75" customHeight="1">
      <c r="A112" s="69" t="s">
        <v>202</v>
      </c>
      <c r="B112" s="73">
        <v>45700.333333333336</v>
      </c>
      <c r="C112" s="58" t="s">
        <v>200</v>
      </c>
      <c r="D112" s="59" t="s">
        <v>203</v>
      </c>
      <c r="E112" s="68" t="s">
        <v>51</v>
      </c>
      <c r="F112" s="59" t="s">
        <v>204</v>
      </c>
      <c r="G112" s="62"/>
      <c r="H112" s="62"/>
      <c r="I112" s="58"/>
      <c r="J112" s="58"/>
      <c r="K112" s="58"/>
      <c r="L112" s="58"/>
      <c r="M112" s="58"/>
      <c r="N112" s="8"/>
    </row>
    <row r="113" ht="15.75" customHeight="1">
      <c r="A113" s="69" t="s">
        <v>205</v>
      </c>
      <c r="B113" s="73">
        <v>45702.333333333336</v>
      </c>
      <c r="C113" s="58" t="s">
        <v>192</v>
      </c>
      <c r="D113" s="59" t="s">
        <v>206</v>
      </c>
      <c r="E113" s="68" t="s">
        <v>51</v>
      </c>
      <c r="F113" s="59" t="s">
        <v>207</v>
      </c>
      <c r="G113" s="62"/>
      <c r="H113" s="62"/>
      <c r="I113" s="58"/>
      <c r="J113" s="58"/>
      <c r="K113" s="58"/>
      <c r="L113" s="58"/>
      <c r="M113" s="58"/>
      <c r="N113" s="8"/>
    </row>
    <row r="114" ht="15.75" customHeight="1">
      <c r="A114" s="69" t="s">
        <v>208</v>
      </c>
      <c r="B114" s="73">
        <v>45706.333333333336</v>
      </c>
      <c r="C114" s="58" t="s">
        <v>209</v>
      </c>
      <c r="D114" s="59" t="s">
        <v>210</v>
      </c>
      <c r="E114" s="68" t="s">
        <v>51</v>
      </c>
      <c r="F114" s="59" t="s">
        <v>211</v>
      </c>
      <c r="G114" s="62"/>
      <c r="H114" s="62"/>
      <c r="I114" s="58"/>
      <c r="J114" s="58"/>
      <c r="K114" s="58"/>
      <c r="L114" s="58"/>
      <c r="M114" s="58"/>
      <c r="N114" s="8"/>
    </row>
    <row r="115" ht="15.75" customHeight="1">
      <c r="A115" s="69" t="s">
        <v>212</v>
      </c>
      <c r="B115" s="73">
        <v>45707.333333333336</v>
      </c>
      <c r="C115" s="58" t="s">
        <v>200</v>
      </c>
      <c r="D115" s="59" t="s">
        <v>213</v>
      </c>
      <c r="E115" s="68" t="s">
        <v>51</v>
      </c>
      <c r="F115" s="59" t="s">
        <v>214</v>
      </c>
      <c r="G115" s="62"/>
      <c r="H115" s="62"/>
      <c r="I115" s="58"/>
      <c r="J115" s="58"/>
      <c r="K115" s="58"/>
      <c r="L115" s="58"/>
      <c r="M115" s="58"/>
      <c r="N115" s="8"/>
    </row>
    <row r="116" ht="15.75" customHeight="1">
      <c r="A116" s="69" t="s">
        <v>215</v>
      </c>
      <c r="B116" s="73">
        <v>45708.333333333336</v>
      </c>
      <c r="C116" s="58" t="s">
        <v>200</v>
      </c>
      <c r="D116" s="59" t="s">
        <v>147</v>
      </c>
      <c r="E116" s="68" t="s">
        <v>51</v>
      </c>
      <c r="F116" s="59" t="s">
        <v>211</v>
      </c>
      <c r="G116" s="62"/>
      <c r="H116" s="62"/>
      <c r="I116" s="58"/>
      <c r="J116" s="58"/>
      <c r="K116" s="58"/>
      <c r="L116" s="58"/>
      <c r="M116" s="58"/>
      <c r="N116" s="8"/>
    </row>
    <row r="117" ht="15.75" customHeight="1">
      <c r="A117" s="69" t="s">
        <v>216</v>
      </c>
      <c r="B117" s="73">
        <v>45708.333333333336</v>
      </c>
      <c r="C117" s="58" t="s">
        <v>209</v>
      </c>
      <c r="D117" s="59" t="s">
        <v>210</v>
      </c>
      <c r="E117" s="68" t="s">
        <v>51</v>
      </c>
      <c r="F117" s="59" t="s">
        <v>217</v>
      </c>
      <c r="G117" s="62"/>
      <c r="H117" s="62"/>
      <c r="I117" s="58"/>
      <c r="J117" s="58"/>
      <c r="K117" s="58"/>
      <c r="L117" s="58"/>
      <c r="M117" s="58"/>
      <c r="N117" s="8"/>
    </row>
    <row r="118" ht="15.75" customHeight="1">
      <c r="A118" s="69" t="s">
        <v>218</v>
      </c>
      <c r="B118" s="73">
        <v>45709.333333333336</v>
      </c>
      <c r="C118" s="58" t="s">
        <v>209</v>
      </c>
      <c r="D118" s="59" t="s">
        <v>105</v>
      </c>
      <c r="E118" s="68" t="s">
        <v>51</v>
      </c>
      <c r="F118" s="59" t="s">
        <v>219</v>
      </c>
      <c r="G118" s="62"/>
      <c r="H118" s="62"/>
      <c r="I118" s="58"/>
      <c r="J118" s="58"/>
      <c r="K118" s="58"/>
      <c r="L118" s="58"/>
      <c r="M118" s="58"/>
      <c r="N118" s="8"/>
    </row>
    <row r="119" ht="15.75" customHeight="1">
      <c r="A119" s="64" t="s">
        <v>220</v>
      </c>
      <c r="B119" s="73">
        <v>45714.333333333336</v>
      </c>
      <c r="C119" s="58" t="s">
        <v>209</v>
      </c>
      <c r="D119" s="59" t="s">
        <v>221</v>
      </c>
      <c r="E119" s="68" t="s">
        <v>51</v>
      </c>
      <c r="F119" s="59" t="s">
        <v>222</v>
      </c>
      <c r="G119" s="62"/>
      <c r="H119" s="62"/>
      <c r="I119" s="58"/>
      <c r="J119" s="58"/>
      <c r="K119" s="58"/>
      <c r="L119" s="58"/>
      <c r="M119" s="58"/>
      <c r="N119" s="8"/>
    </row>
    <row r="120" ht="15.75" customHeight="1">
      <c r="A120" s="64" t="s">
        <v>223</v>
      </c>
      <c r="B120" s="60">
        <v>45702.5</v>
      </c>
      <c r="C120" s="58" t="s">
        <v>175</v>
      </c>
      <c r="D120" s="59" t="s">
        <v>224</v>
      </c>
      <c r="E120" s="68" t="s">
        <v>51</v>
      </c>
      <c r="F120" s="59" t="s">
        <v>157</v>
      </c>
      <c r="G120" s="62"/>
      <c r="H120" s="62"/>
      <c r="I120" s="58"/>
      <c r="J120" s="58"/>
      <c r="K120" s="58"/>
      <c r="L120" s="58"/>
      <c r="M120" s="58"/>
      <c r="N120" s="8"/>
    </row>
    <row r="121" ht="15.75" customHeight="1">
      <c r="A121" s="69" t="s">
        <v>225</v>
      </c>
      <c r="B121" s="60">
        <v>45702.75</v>
      </c>
      <c r="C121" s="58" t="s">
        <v>175</v>
      </c>
      <c r="D121" s="59" t="s">
        <v>159</v>
      </c>
      <c r="E121" s="68" t="s">
        <v>51</v>
      </c>
      <c r="F121" s="59" t="s">
        <v>226</v>
      </c>
      <c r="G121" s="62"/>
      <c r="H121" s="62"/>
      <c r="I121" s="58"/>
      <c r="J121" s="58"/>
      <c r="K121" s="58"/>
      <c r="L121" s="58"/>
      <c r="M121" s="58"/>
      <c r="N121" s="8"/>
    </row>
    <row r="122" ht="15.75" customHeight="1">
      <c r="A122" s="69" t="s">
        <v>227</v>
      </c>
      <c r="B122" s="60">
        <v>45706.75</v>
      </c>
      <c r="C122" s="58" t="s">
        <v>228</v>
      </c>
      <c r="D122" s="58" t="s">
        <v>229</v>
      </c>
      <c r="E122" s="68" t="s">
        <v>51</v>
      </c>
      <c r="F122" s="59" t="s">
        <v>230</v>
      </c>
      <c r="G122" s="62"/>
      <c r="H122" s="62"/>
      <c r="I122" s="58"/>
      <c r="J122" s="58"/>
      <c r="K122" s="58"/>
      <c r="L122" s="58"/>
      <c r="M122" s="58"/>
      <c r="N122" s="8"/>
    </row>
    <row r="123" ht="15.75" customHeight="1">
      <c r="A123" s="69" t="s">
        <v>231</v>
      </c>
      <c r="B123" s="60">
        <v>45708.541666666664</v>
      </c>
      <c r="C123" s="58" t="s">
        <v>175</v>
      </c>
      <c r="D123" s="59" t="s">
        <v>232</v>
      </c>
      <c r="E123" s="68" t="s">
        <v>51</v>
      </c>
      <c r="F123" s="59" t="s">
        <v>230</v>
      </c>
      <c r="G123" s="62"/>
      <c r="H123" s="62"/>
      <c r="I123" s="58"/>
      <c r="J123" s="58"/>
      <c r="K123" s="58"/>
      <c r="L123" s="58"/>
      <c r="M123" s="58"/>
      <c r="N123" s="8"/>
    </row>
    <row r="124" ht="15.75" customHeight="1">
      <c r="A124" s="69" t="s">
        <v>233</v>
      </c>
      <c r="B124" s="60">
        <v>45712.75</v>
      </c>
      <c r="C124" s="58" t="s">
        <v>175</v>
      </c>
      <c r="D124" s="59" t="s">
        <v>234</v>
      </c>
      <c r="E124" s="68" t="s">
        <v>51</v>
      </c>
      <c r="F124" s="59" t="s">
        <v>230</v>
      </c>
      <c r="G124" s="62"/>
      <c r="H124" s="62"/>
      <c r="I124" s="58"/>
      <c r="J124" s="58"/>
      <c r="K124" s="58"/>
      <c r="L124" s="58"/>
      <c r="M124" s="58"/>
      <c r="N124" s="8"/>
    </row>
    <row r="125" ht="15.75" customHeight="1">
      <c r="A125" s="69" t="s">
        <v>235</v>
      </c>
      <c r="B125" s="60">
        <v>45714.583333333336</v>
      </c>
      <c r="C125" s="58" t="s">
        <v>175</v>
      </c>
      <c r="D125" s="59" t="s">
        <v>236</v>
      </c>
      <c r="E125" s="68" t="s">
        <v>51</v>
      </c>
      <c r="F125" s="59" t="s">
        <v>230</v>
      </c>
      <c r="G125" s="62"/>
      <c r="H125" s="62"/>
      <c r="I125" s="58"/>
      <c r="J125" s="58"/>
      <c r="K125" s="58"/>
      <c r="L125" s="58"/>
      <c r="M125" s="58"/>
      <c r="N125" s="8"/>
    </row>
    <row r="126" ht="15.75" customHeight="1">
      <c r="A126" s="69" t="s">
        <v>237</v>
      </c>
      <c r="B126" s="60">
        <v>45715.916666666664</v>
      </c>
      <c r="C126" s="58" t="s">
        <v>175</v>
      </c>
      <c r="D126" s="59" t="s">
        <v>156</v>
      </c>
      <c r="E126" s="68" t="s">
        <v>51</v>
      </c>
      <c r="F126" s="59" t="s">
        <v>157</v>
      </c>
      <c r="G126" s="62"/>
      <c r="H126" s="62"/>
      <c r="I126" s="58"/>
      <c r="J126" s="58"/>
      <c r="K126" s="58"/>
      <c r="L126" s="58"/>
      <c r="M126" s="58"/>
      <c r="N126" s="8"/>
    </row>
    <row r="127" ht="15.75" customHeight="1">
      <c r="A127" s="69" t="s">
        <v>238</v>
      </c>
      <c r="B127" s="60">
        <v>45699.333333333336</v>
      </c>
      <c r="C127" s="58" t="s">
        <v>189</v>
      </c>
      <c r="D127" s="59" t="s">
        <v>239</v>
      </c>
      <c r="E127" s="68" t="s">
        <v>51</v>
      </c>
      <c r="F127" s="59" t="s">
        <v>230</v>
      </c>
      <c r="G127" s="62"/>
      <c r="H127" s="62"/>
      <c r="I127" s="58"/>
      <c r="J127" s="58"/>
      <c r="K127" s="58"/>
      <c r="L127" s="58"/>
      <c r="M127" s="58"/>
      <c r="N127" s="8"/>
    </row>
    <row r="128" ht="15.75" customHeight="1">
      <c r="A128" s="64" t="s">
        <v>240</v>
      </c>
      <c r="B128" s="60">
        <v>45702.333333333336</v>
      </c>
      <c r="C128" s="58" t="s">
        <v>189</v>
      </c>
      <c r="D128" s="59" t="s">
        <v>241</v>
      </c>
      <c r="E128" s="68" t="s">
        <v>51</v>
      </c>
      <c r="F128" s="59" t="s">
        <v>230</v>
      </c>
      <c r="G128" s="62"/>
      <c r="H128" s="62"/>
      <c r="I128" s="58"/>
      <c r="J128" s="58"/>
      <c r="K128" s="58"/>
      <c r="L128" s="58"/>
      <c r="M128" s="58"/>
      <c r="N128" s="8"/>
    </row>
    <row r="129" ht="15.75" customHeight="1">
      <c r="A129" s="69" t="s">
        <v>242</v>
      </c>
      <c r="B129" s="60">
        <v>45708.333333333336</v>
      </c>
      <c r="C129" s="58" t="s">
        <v>189</v>
      </c>
      <c r="D129" s="59" t="s">
        <v>243</v>
      </c>
      <c r="E129" s="68" t="s">
        <v>51</v>
      </c>
      <c r="F129" s="59" t="s">
        <v>147</v>
      </c>
      <c r="G129" s="62"/>
      <c r="H129" s="62"/>
      <c r="I129" s="58"/>
      <c r="J129" s="58"/>
      <c r="K129" s="58"/>
      <c r="L129" s="58"/>
      <c r="M129" s="58"/>
      <c r="N129" s="8"/>
    </row>
    <row r="130" ht="15.75" customHeight="1">
      <c r="A130" s="64" t="s">
        <v>244</v>
      </c>
      <c r="B130" s="58" t="s">
        <v>245</v>
      </c>
      <c r="C130" s="58" t="s">
        <v>186</v>
      </c>
      <c r="D130" s="58" t="s">
        <v>246</v>
      </c>
      <c r="E130" s="68" t="s">
        <v>51</v>
      </c>
      <c r="F130" s="59" t="s">
        <v>147</v>
      </c>
      <c r="G130" s="62"/>
      <c r="H130" s="62"/>
      <c r="I130" s="58"/>
      <c r="J130" s="58"/>
      <c r="K130" s="58"/>
      <c r="L130" s="58"/>
      <c r="M130" s="58"/>
      <c r="N130" s="8"/>
    </row>
    <row r="131" ht="15.75" customHeight="1">
      <c r="A131" s="69" t="s">
        <v>247</v>
      </c>
      <c r="B131" s="58" t="s">
        <v>248</v>
      </c>
      <c r="C131" s="58" t="s">
        <v>189</v>
      </c>
      <c r="D131" s="59" t="s">
        <v>249</v>
      </c>
      <c r="E131" s="68" t="s">
        <v>51</v>
      </c>
      <c r="F131" s="59" t="s">
        <v>147</v>
      </c>
      <c r="G131" s="62"/>
      <c r="H131" s="62"/>
      <c r="I131" s="58"/>
      <c r="J131" s="58"/>
      <c r="K131" s="58"/>
      <c r="L131" s="58"/>
      <c r="M131" s="58"/>
      <c r="N131" s="8"/>
    </row>
    <row r="132" ht="15.75" customHeight="1">
      <c r="A132" s="69" t="s">
        <v>250</v>
      </c>
      <c r="B132" s="58" t="s">
        <v>251</v>
      </c>
      <c r="C132" s="58" t="s">
        <v>252</v>
      </c>
      <c r="D132" s="59" t="s">
        <v>253</v>
      </c>
      <c r="E132" s="68" t="s">
        <v>51</v>
      </c>
      <c r="F132" s="59" t="s">
        <v>147</v>
      </c>
      <c r="G132" s="62"/>
      <c r="H132" s="62"/>
      <c r="I132" s="58"/>
      <c r="J132" s="58"/>
      <c r="K132" s="58"/>
      <c r="L132" s="58"/>
      <c r="M132" s="58"/>
      <c r="N132" s="8"/>
    </row>
    <row r="133" ht="15.75" customHeight="1">
      <c r="A133" s="69" t="s">
        <v>254</v>
      </c>
      <c r="B133" s="60">
        <v>45694.75</v>
      </c>
      <c r="C133" s="58" t="s">
        <v>252</v>
      </c>
      <c r="D133" s="59" t="s">
        <v>255</v>
      </c>
      <c r="E133" s="68" t="s">
        <v>51</v>
      </c>
      <c r="F133" s="59" t="s">
        <v>226</v>
      </c>
      <c r="G133" s="62"/>
      <c r="H133" s="62"/>
      <c r="I133" s="58"/>
      <c r="J133" s="58"/>
      <c r="K133" s="58"/>
      <c r="L133" s="58"/>
      <c r="M133" s="58"/>
      <c r="N133" s="8"/>
    </row>
    <row r="134" ht="15.75" customHeight="1">
      <c r="A134" s="69" t="s">
        <v>256</v>
      </c>
      <c r="B134" s="58" t="s">
        <v>257</v>
      </c>
      <c r="C134" s="58" t="s">
        <v>252</v>
      </c>
      <c r="D134" s="59" t="s">
        <v>249</v>
      </c>
      <c r="E134" s="68" t="s">
        <v>51</v>
      </c>
      <c r="F134" s="59" t="s">
        <v>230</v>
      </c>
      <c r="G134" s="62"/>
      <c r="H134" s="62"/>
      <c r="I134" s="58"/>
      <c r="J134" s="58"/>
      <c r="K134" s="58"/>
      <c r="L134" s="58"/>
      <c r="M134" s="58"/>
      <c r="N134" s="8"/>
    </row>
    <row r="135" ht="15.75" customHeight="1">
      <c r="A135" s="64" t="s">
        <v>258</v>
      </c>
      <c r="B135" s="60">
        <v>45700.0</v>
      </c>
      <c r="C135" s="58" t="s">
        <v>49</v>
      </c>
      <c r="D135" s="58" t="s">
        <v>259</v>
      </c>
      <c r="E135" s="74" t="s">
        <v>51</v>
      </c>
      <c r="F135" s="58" t="s">
        <v>260</v>
      </c>
      <c r="G135" s="62"/>
      <c r="H135" s="62"/>
      <c r="I135" s="58"/>
      <c r="J135" s="58"/>
      <c r="K135" s="58"/>
      <c r="L135" s="58"/>
      <c r="M135" s="58"/>
      <c r="N135" s="8"/>
    </row>
    <row r="136" ht="15.75" customHeight="1">
      <c r="A136" s="69" t="s">
        <v>261</v>
      </c>
      <c r="B136" s="60">
        <v>45701.791666666664</v>
      </c>
      <c r="C136" s="58" t="s">
        <v>252</v>
      </c>
      <c r="D136" s="58" t="s">
        <v>262</v>
      </c>
      <c r="E136" s="68" t="s">
        <v>51</v>
      </c>
      <c r="F136" s="59" t="s">
        <v>263</v>
      </c>
      <c r="G136" s="62"/>
      <c r="H136" s="62"/>
      <c r="I136" s="58"/>
      <c r="J136" s="58"/>
      <c r="K136" s="58"/>
      <c r="L136" s="58"/>
      <c r="M136" s="58"/>
      <c r="N136" s="8"/>
    </row>
    <row r="137" ht="15.75" customHeight="1">
      <c r="A137" s="69" t="s">
        <v>264</v>
      </c>
      <c r="B137" s="60">
        <v>45706.9375</v>
      </c>
      <c r="C137" s="58" t="s">
        <v>252</v>
      </c>
      <c r="D137" s="59" t="s">
        <v>265</v>
      </c>
      <c r="E137" s="68" t="s">
        <v>51</v>
      </c>
      <c r="F137" s="59" t="s">
        <v>263</v>
      </c>
      <c r="G137" s="62"/>
      <c r="H137" s="62"/>
      <c r="I137" s="58"/>
      <c r="J137" s="58"/>
      <c r="K137" s="58"/>
      <c r="L137" s="58"/>
      <c r="M137" s="58"/>
      <c r="N137" s="8"/>
    </row>
    <row r="138" ht="15.75" customHeight="1">
      <c r="A138" s="69" t="s">
        <v>266</v>
      </c>
      <c r="B138" s="60">
        <v>45712.958333333336</v>
      </c>
      <c r="C138" s="58" t="s">
        <v>252</v>
      </c>
      <c r="D138" s="59" t="s">
        <v>267</v>
      </c>
      <c r="E138" s="68" t="s">
        <v>51</v>
      </c>
      <c r="F138" s="59" t="s">
        <v>230</v>
      </c>
      <c r="G138" s="62"/>
      <c r="H138" s="62"/>
      <c r="I138" s="58"/>
      <c r="J138" s="58"/>
      <c r="K138" s="58"/>
      <c r="L138" s="58"/>
      <c r="M138" s="58"/>
      <c r="N138" s="8"/>
    </row>
    <row r="139" ht="15.75" customHeight="1">
      <c r="A139" s="69" t="s">
        <v>268</v>
      </c>
      <c r="B139" s="60">
        <v>45713.75</v>
      </c>
      <c r="C139" s="58" t="s">
        <v>252</v>
      </c>
      <c r="D139" s="58" t="s">
        <v>269</v>
      </c>
      <c r="E139" s="68" t="s">
        <v>51</v>
      </c>
      <c r="F139" s="59" t="s">
        <v>263</v>
      </c>
      <c r="G139" s="62"/>
      <c r="H139" s="62"/>
      <c r="I139" s="58"/>
      <c r="J139" s="58"/>
      <c r="K139" s="58"/>
      <c r="L139" s="58"/>
      <c r="M139" s="58"/>
      <c r="N139" s="8"/>
    </row>
    <row r="140" ht="15.75" customHeight="1">
      <c r="A140" s="69" t="s">
        <v>270</v>
      </c>
      <c r="B140" s="60">
        <v>45713.770833333336</v>
      </c>
      <c r="C140" s="58" t="s">
        <v>252</v>
      </c>
      <c r="D140" s="58" t="s">
        <v>271</v>
      </c>
      <c r="E140" s="68" t="s">
        <v>51</v>
      </c>
      <c r="F140" s="59" t="s">
        <v>147</v>
      </c>
      <c r="G140" s="62"/>
      <c r="H140" s="62"/>
      <c r="I140" s="58"/>
      <c r="J140" s="58"/>
      <c r="K140" s="58"/>
      <c r="L140" s="58"/>
      <c r="M140" s="58"/>
      <c r="N140" s="8"/>
    </row>
    <row r="141" ht="15.75" customHeight="1">
      <c r="A141" s="69" t="s">
        <v>272</v>
      </c>
      <c r="B141" s="60">
        <v>45706.958333333336</v>
      </c>
      <c r="C141" s="58" t="s">
        <v>180</v>
      </c>
      <c r="D141" s="59" t="s">
        <v>273</v>
      </c>
      <c r="E141" s="68" t="s">
        <v>51</v>
      </c>
      <c r="F141" s="59" t="s">
        <v>263</v>
      </c>
      <c r="G141" s="62"/>
      <c r="H141" s="62"/>
      <c r="I141" s="58"/>
      <c r="J141" s="58"/>
      <c r="K141" s="58"/>
      <c r="L141" s="58"/>
      <c r="M141" s="58"/>
      <c r="N141" s="8"/>
    </row>
    <row r="142" ht="15.75" customHeight="1">
      <c r="A142" s="69" t="s">
        <v>274</v>
      </c>
      <c r="B142" s="60">
        <v>45709.791666666664</v>
      </c>
      <c r="C142" s="58" t="s">
        <v>180</v>
      </c>
      <c r="D142" s="59" t="s">
        <v>275</v>
      </c>
      <c r="E142" s="68" t="s">
        <v>51</v>
      </c>
      <c r="F142" s="59" t="s">
        <v>230</v>
      </c>
      <c r="G142" s="62"/>
      <c r="H142" s="62"/>
      <c r="I142" s="58"/>
      <c r="J142" s="58"/>
      <c r="K142" s="58"/>
      <c r="L142" s="58"/>
      <c r="M142" s="58"/>
      <c r="N142" s="8"/>
    </row>
    <row r="143" ht="15.75" customHeight="1">
      <c r="A143" s="69" t="s">
        <v>276</v>
      </c>
      <c r="B143" s="60">
        <v>45710.541666666664</v>
      </c>
      <c r="C143" s="58" t="s">
        <v>180</v>
      </c>
      <c r="D143" s="58" t="s">
        <v>277</v>
      </c>
      <c r="E143" s="68" t="s">
        <v>51</v>
      </c>
      <c r="F143" s="59" t="s">
        <v>230</v>
      </c>
      <c r="G143" s="62"/>
      <c r="H143" s="62"/>
      <c r="I143" s="58"/>
      <c r="J143" s="58"/>
      <c r="K143" s="58"/>
      <c r="L143" s="58"/>
      <c r="M143" s="58"/>
      <c r="N143" s="8"/>
    </row>
    <row r="144" ht="15.75" customHeight="1">
      <c r="A144" s="75" t="s">
        <v>278</v>
      </c>
      <c r="B144" s="60">
        <v>45720.0</v>
      </c>
      <c r="C144" s="58" t="s">
        <v>175</v>
      </c>
      <c r="D144" s="59" t="s">
        <v>279</v>
      </c>
      <c r="E144" s="68" t="s">
        <v>51</v>
      </c>
      <c r="F144" s="59" t="s">
        <v>147</v>
      </c>
      <c r="G144" s="62"/>
      <c r="H144" s="62"/>
      <c r="I144" s="58"/>
      <c r="J144" s="58"/>
      <c r="K144" s="58"/>
      <c r="L144" s="58"/>
      <c r="M144" s="58"/>
      <c r="N144" s="8"/>
    </row>
    <row r="145" ht="15.75" customHeight="1">
      <c r="A145" s="69" t="s">
        <v>280</v>
      </c>
      <c r="B145" s="60">
        <v>45729.541666666664</v>
      </c>
      <c r="C145" s="58" t="s">
        <v>175</v>
      </c>
      <c r="D145" s="59" t="s">
        <v>281</v>
      </c>
      <c r="E145" s="68" t="s">
        <v>51</v>
      </c>
      <c r="F145" s="59" t="s">
        <v>147</v>
      </c>
      <c r="G145" s="62"/>
      <c r="H145" s="62"/>
      <c r="I145" s="58"/>
      <c r="J145" s="58"/>
      <c r="K145" s="58"/>
      <c r="L145" s="58"/>
      <c r="M145" s="58"/>
      <c r="N145" s="8"/>
    </row>
    <row r="146" ht="15.75" customHeight="1">
      <c r="A146" s="64" t="s">
        <v>282</v>
      </c>
      <c r="B146" s="60">
        <v>45731.0</v>
      </c>
      <c r="C146" s="58" t="s">
        <v>49</v>
      </c>
      <c r="D146" s="58" t="s">
        <v>283</v>
      </c>
      <c r="E146" s="74" t="s">
        <v>51</v>
      </c>
      <c r="F146" s="58" t="s">
        <v>260</v>
      </c>
      <c r="G146" s="62"/>
      <c r="H146" s="62"/>
      <c r="I146" s="58"/>
      <c r="J146" s="58"/>
      <c r="K146" s="58"/>
      <c r="L146" s="58"/>
      <c r="M146" s="58"/>
      <c r="N146" s="8"/>
    </row>
    <row r="147" ht="15.75" customHeight="1">
      <c r="A147" s="69" t="s">
        <v>284</v>
      </c>
      <c r="B147" s="60">
        <v>45735.958333333336</v>
      </c>
      <c r="C147" s="58" t="s">
        <v>175</v>
      </c>
      <c r="D147" s="59" t="s">
        <v>285</v>
      </c>
      <c r="E147" s="68" t="s">
        <v>51</v>
      </c>
      <c r="F147" s="59" t="s">
        <v>147</v>
      </c>
      <c r="G147" s="62"/>
      <c r="H147" s="62"/>
      <c r="I147" s="58"/>
      <c r="J147" s="58"/>
      <c r="K147" s="58"/>
      <c r="L147" s="58"/>
      <c r="M147" s="58"/>
      <c r="N147" s="8"/>
    </row>
    <row r="148" ht="15.75" customHeight="1">
      <c r="A148" s="69" t="s">
        <v>286</v>
      </c>
      <c r="B148" s="60">
        <v>45737.75</v>
      </c>
      <c r="C148" s="58" t="s">
        <v>175</v>
      </c>
      <c r="D148" s="59" t="s">
        <v>249</v>
      </c>
      <c r="E148" s="68" t="s">
        <v>51</v>
      </c>
      <c r="F148" s="59" t="s">
        <v>147</v>
      </c>
      <c r="G148" s="62"/>
      <c r="H148" s="62"/>
      <c r="I148" s="58"/>
      <c r="J148" s="58"/>
      <c r="K148" s="58"/>
      <c r="L148" s="58"/>
      <c r="M148" s="58"/>
      <c r="N148" s="8"/>
    </row>
    <row r="149" ht="15.75" customHeight="1">
      <c r="A149" s="69" t="s">
        <v>287</v>
      </c>
      <c r="B149" s="60">
        <v>45743.666666666664</v>
      </c>
      <c r="C149" s="58" t="s">
        <v>175</v>
      </c>
      <c r="D149" s="58" t="s">
        <v>288</v>
      </c>
      <c r="E149" s="68" t="s">
        <v>51</v>
      </c>
      <c r="F149" s="59" t="s">
        <v>147</v>
      </c>
      <c r="G149" s="62"/>
      <c r="H149" s="62"/>
      <c r="I149" s="58"/>
      <c r="J149" s="58"/>
      <c r="K149" s="58"/>
      <c r="L149" s="58"/>
      <c r="M149" s="58"/>
      <c r="N149" s="8"/>
    </row>
    <row r="150" ht="15.75" customHeight="1">
      <c r="A150" s="69" t="s">
        <v>289</v>
      </c>
      <c r="B150" s="60">
        <v>45744.541666666664</v>
      </c>
      <c r="C150" s="58" t="s">
        <v>175</v>
      </c>
      <c r="D150" s="59" t="s">
        <v>290</v>
      </c>
      <c r="E150" s="68" t="s">
        <v>51</v>
      </c>
      <c r="F150" s="59" t="s">
        <v>153</v>
      </c>
      <c r="G150" s="62"/>
      <c r="H150" s="62"/>
      <c r="I150" s="58"/>
      <c r="J150" s="58"/>
      <c r="K150" s="58"/>
      <c r="L150" s="58"/>
      <c r="M150" s="58"/>
      <c r="N150" s="8"/>
    </row>
    <row r="151" ht="15.75" customHeight="1">
      <c r="A151" s="69" t="s">
        <v>291</v>
      </c>
      <c r="B151" s="60">
        <v>45744.75</v>
      </c>
      <c r="C151" s="58" t="s">
        <v>175</v>
      </c>
      <c r="D151" s="59" t="s">
        <v>292</v>
      </c>
      <c r="E151" s="68" t="s">
        <v>51</v>
      </c>
      <c r="F151" s="59" t="s">
        <v>153</v>
      </c>
      <c r="G151" s="62"/>
      <c r="H151" s="62"/>
      <c r="I151" s="58"/>
      <c r="J151" s="58"/>
      <c r="K151" s="58"/>
      <c r="L151" s="58"/>
      <c r="M151" s="58"/>
      <c r="N151" s="8"/>
    </row>
    <row r="152" ht="15.75" customHeight="1">
      <c r="A152" s="69" t="s">
        <v>293</v>
      </c>
      <c r="B152" s="60">
        <v>45746.833333333336</v>
      </c>
      <c r="C152" s="58" t="s">
        <v>175</v>
      </c>
      <c r="D152" s="59" t="s">
        <v>294</v>
      </c>
      <c r="E152" s="68" t="s">
        <v>51</v>
      </c>
      <c r="F152" s="59" t="s">
        <v>147</v>
      </c>
      <c r="G152" s="62"/>
      <c r="H152" s="62"/>
      <c r="I152" s="58"/>
      <c r="J152" s="58"/>
      <c r="K152" s="58"/>
      <c r="L152" s="58"/>
      <c r="M152" s="58"/>
      <c r="N152" s="8"/>
    </row>
    <row r="153" ht="15.75" customHeight="1">
      <c r="A153" s="69" t="s">
        <v>295</v>
      </c>
      <c r="B153" s="60">
        <v>45723.333333333336</v>
      </c>
      <c r="C153" s="58" t="s">
        <v>189</v>
      </c>
      <c r="D153" s="59" t="s">
        <v>249</v>
      </c>
      <c r="E153" s="68" t="s">
        <v>51</v>
      </c>
      <c r="F153" s="59" t="s">
        <v>147</v>
      </c>
      <c r="G153" s="62"/>
      <c r="H153" s="62"/>
      <c r="I153" s="58"/>
      <c r="J153" s="58"/>
      <c r="K153" s="58"/>
      <c r="L153" s="58"/>
      <c r="M153" s="58"/>
      <c r="N153" s="8"/>
    </row>
    <row r="154" ht="15.75" customHeight="1">
      <c r="A154" s="69" t="s">
        <v>296</v>
      </c>
      <c r="B154" s="60">
        <v>45741.333333333336</v>
      </c>
      <c r="C154" s="58" t="s">
        <v>155</v>
      </c>
      <c r="D154" s="59" t="s">
        <v>249</v>
      </c>
      <c r="E154" s="68" t="s">
        <v>51</v>
      </c>
      <c r="F154" s="59" t="s">
        <v>147</v>
      </c>
      <c r="G154" s="62"/>
      <c r="H154" s="62"/>
      <c r="I154" s="58"/>
      <c r="J154" s="58"/>
      <c r="K154" s="58"/>
      <c r="L154" s="58"/>
      <c r="M154" s="58"/>
      <c r="N154" s="8"/>
    </row>
    <row r="155" ht="15.75" customHeight="1">
      <c r="A155" s="69" t="s">
        <v>297</v>
      </c>
      <c r="B155" s="60">
        <v>45727.75</v>
      </c>
      <c r="C155" s="58" t="s">
        <v>252</v>
      </c>
      <c r="D155" s="59" t="s">
        <v>249</v>
      </c>
      <c r="E155" s="68" t="s">
        <v>51</v>
      </c>
      <c r="F155" s="59" t="s">
        <v>147</v>
      </c>
      <c r="G155" s="62"/>
      <c r="H155" s="62"/>
      <c r="I155" s="58"/>
      <c r="J155" s="58"/>
      <c r="K155" s="58"/>
      <c r="L155" s="58"/>
      <c r="M155" s="58"/>
      <c r="N155" s="8"/>
    </row>
    <row r="156" ht="15.75" customHeight="1">
      <c r="A156" s="75" t="s">
        <v>298</v>
      </c>
      <c r="B156" s="60">
        <v>45729.791666666664</v>
      </c>
      <c r="C156" s="58" t="s">
        <v>252</v>
      </c>
      <c r="D156" s="58" t="s">
        <v>299</v>
      </c>
      <c r="E156" s="68" t="s">
        <v>51</v>
      </c>
      <c r="F156" s="59" t="s">
        <v>164</v>
      </c>
      <c r="G156" s="62"/>
      <c r="H156" s="62"/>
      <c r="I156" s="58"/>
      <c r="J156" s="58"/>
      <c r="K156" s="58"/>
      <c r="L156" s="58"/>
      <c r="M156" s="58"/>
      <c r="N156" s="8"/>
    </row>
    <row r="157" ht="15.75" customHeight="1">
      <c r="A157" s="75" t="s">
        <v>300</v>
      </c>
      <c r="B157" s="58" t="s">
        <v>301</v>
      </c>
      <c r="C157" s="58" t="s">
        <v>252</v>
      </c>
      <c r="D157" s="58" t="s">
        <v>302</v>
      </c>
      <c r="E157" s="68" t="s">
        <v>51</v>
      </c>
      <c r="F157" s="59" t="s">
        <v>164</v>
      </c>
      <c r="G157" s="62"/>
      <c r="H157" s="62"/>
      <c r="I157" s="58"/>
      <c r="J157" s="58"/>
      <c r="K157" s="58"/>
      <c r="L157" s="58"/>
      <c r="M157" s="58"/>
      <c r="N157" s="8"/>
    </row>
    <row r="158" ht="15.75" customHeight="1">
      <c r="A158" s="69" t="s">
        <v>303</v>
      </c>
      <c r="B158" s="60">
        <v>45732.958333333336</v>
      </c>
      <c r="C158" s="58" t="s">
        <v>252</v>
      </c>
      <c r="D158" s="59" t="s">
        <v>304</v>
      </c>
      <c r="E158" s="68" t="s">
        <v>51</v>
      </c>
      <c r="F158" s="59" t="s">
        <v>164</v>
      </c>
      <c r="G158" s="62"/>
      <c r="H158" s="62"/>
      <c r="I158" s="58"/>
      <c r="J158" s="58"/>
      <c r="K158" s="58"/>
      <c r="L158" s="58"/>
      <c r="M158" s="58"/>
      <c r="N158" s="8"/>
    </row>
    <row r="159" ht="15.75" customHeight="1">
      <c r="A159" s="69" t="s">
        <v>305</v>
      </c>
      <c r="B159" s="58" t="s">
        <v>306</v>
      </c>
      <c r="C159" s="58" t="s">
        <v>252</v>
      </c>
      <c r="D159" s="59" t="s">
        <v>249</v>
      </c>
      <c r="E159" s="68" t="s">
        <v>51</v>
      </c>
      <c r="F159" s="59" t="s">
        <v>147</v>
      </c>
      <c r="G159" s="62"/>
      <c r="H159" s="62"/>
      <c r="I159" s="58"/>
      <c r="J159" s="58"/>
      <c r="K159" s="58"/>
      <c r="L159" s="58"/>
      <c r="M159" s="58"/>
      <c r="N159" s="8"/>
    </row>
    <row r="160" ht="15.75" customHeight="1">
      <c r="A160" s="69" t="s">
        <v>307</v>
      </c>
      <c r="B160" s="60">
        <v>45736.75</v>
      </c>
      <c r="C160" s="58" t="s">
        <v>252</v>
      </c>
      <c r="D160" s="59" t="s">
        <v>249</v>
      </c>
      <c r="E160" s="68" t="s">
        <v>51</v>
      </c>
      <c r="F160" s="59" t="s">
        <v>147</v>
      </c>
      <c r="G160" s="62"/>
      <c r="H160" s="62"/>
      <c r="I160" s="58"/>
      <c r="J160" s="58"/>
      <c r="K160" s="58"/>
      <c r="L160" s="58"/>
      <c r="M160" s="58"/>
      <c r="N160" s="8"/>
    </row>
    <row r="161" ht="15.75" customHeight="1">
      <c r="A161" s="69" t="s">
        <v>308</v>
      </c>
      <c r="B161" s="60">
        <v>45737.75</v>
      </c>
      <c r="C161" s="58" t="s">
        <v>252</v>
      </c>
      <c r="D161" s="59" t="s">
        <v>249</v>
      </c>
      <c r="E161" s="68" t="s">
        <v>51</v>
      </c>
      <c r="F161" s="59" t="s">
        <v>147</v>
      </c>
      <c r="G161" s="62"/>
      <c r="H161" s="62"/>
      <c r="I161" s="58"/>
      <c r="J161" s="58"/>
      <c r="K161" s="58"/>
      <c r="L161" s="58"/>
      <c r="M161" s="58"/>
      <c r="N161" s="8"/>
    </row>
    <row r="162" ht="15.75" customHeight="1">
      <c r="A162" s="69" t="s">
        <v>309</v>
      </c>
      <c r="B162" s="60">
        <v>45738.833333333336</v>
      </c>
      <c r="C162" s="58" t="s">
        <v>252</v>
      </c>
      <c r="D162" s="59" t="s">
        <v>249</v>
      </c>
      <c r="E162" s="68" t="s">
        <v>51</v>
      </c>
      <c r="F162" s="59" t="s">
        <v>147</v>
      </c>
      <c r="G162" s="62"/>
      <c r="H162" s="62"/>
      <c r="I162" s="58"/>
      <c r="J162" s="58"/>
      <c r="K162" s="58"/>
      <c r="L162" s="58"/>
      <c r="M162" s="58"/>
      <c r="N162" s="8"/>
    </row>
    <row r="163" ht="15.75" customHeight="1">
      <c r="A163" s="69" t="s">
        <v>310</v>
      </c>
      <c r="B163" s="60">
        <v>45741.5</v>
      </c>
      <c r="C163" s="58" t="s">
        <v>252</v>
      </c>
      <c r="D163" s="59" t="s">
        <v>249</v>
      </c>
      <c r="E163" s="68" t="s">
        <v>51</v>
      </c>
      <c r="F163" s="59" t="s">
        <v>147</v>
      </c>
      <c r="G163" s="62"/>
      <c r="H163" s="62"/>
      <c r="I163" s="58"/>
      <c r="J163" s="58"/>
      <c r="K163" s="58"/>
      <c r="L163" s="58"/>
      <c r="M163" s="58"/>
      <c r="N163" s="8"/>
    </row>
    <row r="164" ht="15.75" customHeight="1">
      <c r="A164" s="69" t="s">
        <v>311</v>
      </c>
      <c r="B164" s="60">
        <v>45744.958333333336</v>
      </c>
      <c r="C164" s="58" t="s">
        <v>252</v>
      </c>
      <c r="D164" s="59" t="s">
        <v>249</v>
      </c>
      <c r="E164" s="68" t="s">
        <v>51</v>
      </c>
      <c r="F164" s="59" t="s">
        <v>147</v>
      </c>
      <c r="G164" s="62"/>
      <c r="H164" s="62"/>
      <c r="I164" s="58"/>
      <c r="J164" s="58"/>
      <c r="K164" s="58"/>
      <c r="L164" s="58"/>
      <c r="M164" s="58"/>
      <c r="N164" s="8"/>
    </row>
    <row r="165" ht="15.75" customHeight="1">
      <c r="A165" s="69" t="s">
        <v>312</v>
      </c>
      <c r="B165" s="60">
        <v>45722.75</v>
      </c>
      <c r="C165" s="58" t="s">
        <v>175</v>
      </c>
      <c r="D165" s="59" t="s">
        <v>249</v>
      </c>
      <c r="E165" s="68" t="s">
        <v>51</v>
      </c>
      <c r="F165" s="59" t="s">
        <v>147</v>
      </c>
      <c r="G165" s="62"/>
      <c r="H165" s="62"/>
      <c r="I165" s="58"/>
      <c r="J165" s="58"/>
      <c r="K165" s="58"/>
      <c r="L165" s="58"/>
      <c r="M165" s="58"/>
      <c r="N165" s="8"/>
    </row>
    <row r="166" ht="15.75" customHeight="1">
      <c r="A166" s="69" t="s">
        <v>313</v>
      </c>
      <c r="B166" s="60">
        <v>45723.541666666664</v>
      </c>
      <c r="C166" s="58" t="s">
        <v>175</v>
      </c>
      <c r="D166" s="59" t="s">
        <v>249</v>
      </c>
      <c r="E166" s="68" t="s">
        <v>51</v>
      </c>
      <c r="F166" s="59" t="s">
        <v>147</v>
      </c>
      <c r="G166" s="62"/>
      <c r="H166" s="62"/>
      <c r="I166" s="58"/>
      <c r="J166" s="58"/>
      <c r="K166" s="58"/>
      <c r="L166" s="58"/>
      <c r="M166" s="58"/>
      <c r="N166" s="8"/>
    </row>
    <row r="167" ht="15.75" customHeight="1">
      <c r="A167" s="69" t="s">
        <v>291</v>
      </c>
      <c r="B167" s="60">
        <v>45744.75</v>
      </c>
      <c r="C167" s="58" t="s">
        <v>175</v>
      </c>
      <c r="D167" s="59" t="s">
        <v>249</v>
      </c>
      <c r="E167" s="68" t="s">
        <v>51</v>
      </c>
      <c r="F167" s="59" t="s">
        <v>147</v>
      </c>
      <c r="G167" s="62"/>
      <c r="H167" s="62"/>
      <c r="I167" s="58"/>
      <c r="J167" s="58"/>
      <c r="K167" s="58"/>
      <c r="L167" s="58"/>
      <c r="M167" s="58"/>
      <c r="N167" s="8"/>
    </row>
    <row r="168" ht="15.75" customHeight="1">
      <c r="A168" s="69" t="s">
        <v>314</v>
      </c>
      <c r="B168" s="60">
        <v>45730.916666666664</v>
      </c>
      <c r="C168" s="58" t="s">
        <v>180</v>
      </c>
      <c r="D168" s="59" t="s">
        <v>249</v>
      </c>
      <c r="E168" s="68" t="s">
        <v>51</v>
      </c>
      <c r="F168" s="59" t="s">
        <v>147</v>
      </c>
      <c r="G168" s="62"/>
      <c r="H168" s="62"/>
      <c r="I168" s="58"/>
      <c r="J168" s="58"/>
      <c r="K168" s="58"/>
      <c r="L168" s="58"/>
      <c r="M168" s="58"/>
      <c r="N168" s="8"/>
    </row>
    <row r="169" ht="15.75" customHeight="1">
      <c r="A169" s="69" t="s">
        <v>315</v>
      </c>
      <c r="B169" s="60">
        <v>45732.75</v>
      </c>
      <c r="C169" s="58" t="s">
        <v>180</v>
      </c>
      <c r="D169" s="59" t="s">
        <v>249</v>
      </c>
      <c r="E169" s="68" t="s">
        <v>51</v>
      </c>
      <c r="F169" s="59" t="s">
        <v>147</v>
      </c>
      <c r="G169" s="62"/>
      <c r="H169" s="62"/>
      <c r="I169" s="58"/>
      <c r="J169" s="58"/>
      <c r="K169" s="58"/>
      <c r="L169" s="58"/>
      <c r="M169" s="58"/>
      <c r="N169" s="8"/>
    </row>
    <row r="170" ht="15.75" customHeight="1">
      <c r="A170" s="69" t="s">
        <v>316</v>
      </c>
      <c r="B170" s="60">
        <v>45741.916666666664</v>
      </c>
      <c r="C170" s="58" t="s">
        <v>180</v>
      </c>
      <c r="D170" s="59" t="s">
        <v>249</v>
      </c>
      <c r="E170" s="68" t="s">
        <v>51</v>
      </c>
      <c r="F170" s="59" t="s">
        <v>147</v>
      </c>
      <c r="G170" s="62"/>
      <c r="H170" s="62"/>
      <c r="I170" s="58"/>
      <c r="J170" s="58"/>
      <c r="K170" s="58"/>
      <c r="L170" s="58"/>
      <c r="M170" s="58"/>
      <c r="N170" s="8"/>
    </row>
    <row r="171" ht="15.75" customHeight="1">
      <c r="A171" s="69" t="s">
        <v>317</v>
      </c>
      <c r="B171" s="58" t="s">
        <v>318</v>
      </c>
      <c r="C171" s="58" t="s">
        <v>180</v>
      </c>
      <c r="D171" s="59" t="s">
        <v>249</v>
      </c>
      <c r="E171" s="68" t="s">
        <v>51</v>
      </c>
      <c r="F171" s="59" t="s">
        <v>147</v>
      </c>
      <c r="G171" s="62"/>
      <c r="H171" s="62"/>
      <c r="I171" s="58"/>
      <c r="J171" s="58"/>
      <c r="K171" s="58"/>
      <c r="L171" s="58"/>
      <c r="M171" s="58"/>
      <c r="N171" s="8"/>
    </row>
    <row r="172" ht="15.75" customHeight="1">
      <c r="A172" s="69" t="s">
        <v>319</v>
      </c>
      <c r="B172" s="60">
        <v>45744.958333333336</v>
      </c>
      <c r="C172" s="58" t="s">
        <v>180</v>
      </c>
      <c r="D172" s="59" t="s">
        <v>249</v>
      </c>
      <c r="E172" s="68" t="s">
        <v>51</v>
      </c>
      <c r="F172" s="59" t="s">
        <v>147</v>
      </c>
      <c r="G172" s="62"/>
      <c r="H172" s="62"/>
      <c r="I172" s="58"/>
      <c r="J172" s="58"/>
      <c r="K172" s="58"/>
      <c r="L172" s="58"/>
      <c r="M172" s="58"/>
      <c r="N172" s="8"/>
    </row>
    <row r="173" ht="15.75" customHeight="1">
      <c r="A173" s="69" t="s">
        <v>320</v>
      </c>
      <c r="B173" s="60">
        <v>45745.75</v>
      </c>
      <c r="C173" s="58" t="s">
        <v>180</v>
      </c>
      <c r="D173" s="59" t="s">
        <v>249</v>
      </c>
      <c r="E173" s="68" t="s">
        <v>51</v>
      </c>
      <c r="F173" s="59" t="s">
        <v>147</v>
      </c>
      <c r="G173" s="62"/>
      <c r="H173" s="62"/>
      <c r="I173" s="58"/>
      <c r="J173" s="58"/>
      <c r="K173" s="58"/>
      <c r="L173" s="58"/>
      <c r="M173" s="58"/>
      <c r="N173" s="8"/>
    </row>
    <row r="174" ht="15.75" customHeight="1">
      <c r="A174" s="69" t="s">
        <v>321</v>
      </c>
      <c r="B174" s="60">
        <v>45721.791666666664</v>
      </c>
      <c r="C174" s="58" t="s">
        <v>189</v>
      </c>
      <c r="D174" s="59" t="s">
        <v>249</v>
      </c>
      <c r="E174" s="68" t="s">
        <v>51</v>
      </c>
      <c r="F174" s="59" t="s">
        <v>147</v>
      </c>
      <c r="G174" s="62"/>
      <c r="H174" s="62"/>
      <c r="I174" s="58"/>
      <c r="J174" s="58"/>
      <c r="K174" s="58"/>
      <c r="L174" s="58"/>
      <c r="M174" s="58"/>
      <c r="N174" s="8"/>
    </row>
    <row r="175" ht="15.75" customHeight="1">
      <c r="A175" s="69" t="s">
        <v>295</v>
      </c>
      <c r="B175" s="60">
        <v>45723.916666666664</v>
      </c>
      <c r="C175" s="58" t="s">
        <v>189</v>
      </c>
      <c r="D175" s="59" t="s">
        <v>249</v>
      </c>
      <c r="E175" s="68" t="s">
        <v>51</v>
      </c>
      <c r="F175" s="59" t="s">
        <v>147</v>
      </c>
      <c r="G175" s="62"/>
      <c r="H175" s="62"/>
      <c r="I175" s="58"/>
      <c r="J175" s="58"/>
      <c r="K175" s="58"/>
      <c r="L175" s="58"/>
      <c r="M175" s="58"/>
      <c r="N175" s="8"/>
    </row>
    <row r="176" ht="15.75" customHeight="1">
      <c r="A176" s="64" t="s">
        <v>322</v>
      </c>
      <c r="B176" s="60">
        <v>45726.0</v>
      </c>
      <c r="C176" s="58" t="s">
        <v>138</v>
      </c>
      <c r="D176" s="59" t="s">
        <v>249</v>
      </c>
      <c r="E176" s="68" t="s">
        <v>51</v>
      </c>
      <c r="F176" s="59" t="s">
        <v>160</v>
      </c>
      <c r="G176" s="62"/>
      <c r="H176" s="62"/>
      <c r="I176" s="58"/>
      <c r="J176" s="58"/>
      <c r="K176" s="58"/>
      <c r="L176" s="58"/>
      <c r="M176" s="58"/>
      <c r="N176" s="8"/>
    </row>
    <row r="177" ht="15.75" customHeight="1">
      <c r="A177" s="69" t="s">
        <v>199</v>
      </c>
      <c r="B177" s="60">
        <v>45727.75</v>
      </c>
      <c r="C177" s="58" t="s">
        <v>155</v>
      </c>
      <c r="D177" s="59" t="s">
        <v>249</v>
      </c>
      <c r="E177" s="68" t="s">
        <v>51</v>
      </c>
      <c r="F177" s="59" t="s">
        <v>147</v>
      </c>
      <c r="G177" s="62"/>
      <c r="H177" s="62"/>
      <c r="I177" s="58"/>
      <c r="J177" s="58"/>
      <c r="K177" s="58"/>
      <c r="L177" s="58"/>
      <c r="M177" s="58"/>
      <c r="N177" s="8"/>
    </row>
    <row r="178" ht="15.75" customHeight="1">
      <c r="A178" s="69" t="s">
        <v>323</v>
      </c>
      <c r="B178" s="60">
        <v>45728.75</v>
      </c>
      <c r="C178" s="58" t="s">
        <v>186</v>
      </c>
      <c r="D178" s="59" t="s">
        <v>249</v>
      </c>
      <c r="E178" s="68" t="s">
        <v>51</v>
      </c>
      <c r="F178" s="59" t="s">
        <v>147</v>
      </c>
      <c r="G178" s="62"/>
      <c r="H178" s="62"/>
      <c r="I178" s="58"/>
      <c r="J178" s="58"/>
      <c r="K178" s="58"/>
      <c r="L178" s="58"/>
      <c r="M178" s="58"/>
      <c r="N178" s="8"/>
    </row>
    <row r="179" ht="15.75" customHeight="1">
      <c r="A179" s="69" t="s">
        <v>324</v>
      </c>
      <c r="B179" s="58" t="s">
        <v>325</v>
      </c>
      <c r="C179" s="58" t="s">
        <v>155</v>
      </c>
      <c r="D179" s="59" t="s">
        <v>249</v>
      </c>
      <c r="E179" s="68" t="s">
        <v>51</v>
      </c>
      <c r="F179" s="59" t="s">
        <v>147</v>
      </c>
      <c r="G179" s="62"/>
      <c r="H179" s="62"/>
      <c r="I179" s="58"/>
      <c r="J179" s="58"/>
      <c r="K179" s="58"/>
      <c r="L179" s="58"/>
      <c r="M179" s="58"/>
      <c r="N179" s="8"/>
    </row>
    <row r="180" ht="15.75" customHeight="1">
      <c r="A180" s="69" t="s">
        <v>49</v>
      </c>
      <c r="B180" s="60">
        <v>45730.75</v>
      </c>
      <c r="C180" s="58" t="s">
        <v>189</v>
      </c>
      <c r="D180" s="59" t="s">
        <v>249</v>
      </c>
      <c r="E180" s="68" t="s">
        <v>51</v>
      </c>
      <c r="F180" s="59" t="s">
        <v>147</v>
      </c>
      <c r="G180" s="62"/>
      <c r="H180" s="62"/>
      <c r="I180" s="58"/>
      <c r="J180" s="58"/>
      <c r="K180" s="58"/>
      <c r="L180" s="58"/>
      <c r="M180" s="58"/>
      <c r="N180" s="8"/>
    </row>
    <row r="181" ht="15.75" customHeight="1">
      <c r="A181" s="69" t="s">
        <v>315</v>
      </c>
      <c r="B181" s="60">
        <v>45732.958333333336</v>
      </c>
      <c r="C181" s="58" t="s">
        <v>189</v>
      </c>
      <c r="D181" s="59" t="s">
        <v>249</v>
      </c>
      <c r="E181" s="68" t="s">
        <v>51</v>
      </c>
      <c r="F181" s="59" t="s">
        <v>147</v>
      </c>
      <c r="G181" s="62"/>
      <c r="H181" s="62"/>
      <c r="I181" s="58"/>
      <c r="J181" s="58"/>
      <c r="K181" s="58"/>
      <c r="L181" s="58"/>
      <c r="M181" s="58"/>
      <c r="N181" s="8"/>
    </row>
    <row r="182" ht="15.75" customHeight="1">
      <c r="A182" s="69" t="s">
        <v>326</v>
      </c>
      <c r="B182" s="60">
        <v>45733.75</v>
      </c>
      <c r="C182" s="58" t="s">
        <v>189</v>
      </c>
      <c r="D182" s="59" t="s">
        <v>249</v>
      </c>
      <c r="E182" s="68" t="s">
        <v>51</v>
      </c>
      <c r="F182" s="59" t="s">
        <v>147</v>
      </c>
      <c r="G182" s="62"/>
      <c r="H182" s="62"/>
      <c r="I182" s="58"/>
      <c r="J182" s="58"/>
      <c r="K182" s="58"/>
      <c r="L182" s="58"/>
      <c r="M182" s="58"/>
      <c r="N182" s="8"/>
    </row>
    <row r="183" ht="15.75" customHeight="1">
      <c r="A183" s="69" t="s">
        <v>199</v>
      </c>
      <c r="B183" s="60">
        <v>45741.75</v>
      </c>
      <c r="C183" s="58" t="s">
        <v>327</v>
      </c>
      <c r="D183" s="59" t="s">
        <v>249</v>
      </c>
      <c r="E183" s="68" t="s">
        <v>51</v>
      </c>
      <c r="F183" s="59" t="s">
        <v>147</v>
      </c>
      <c r="G183" s="62"/>
      <c r="H183" s="62"/>
      <c r="I183" s="58"/>
      <c r="J183" s="58"/>
      <c r="K183" s="58"/>
      <c r="L183" s="58"/>
      <c r="M183" s="58"/>
      <c r="N183" s="8"/>
    </row>
    <row r="184" ht="15.75" customHeight="1">
      <c r="A184" s="69" t="s">
        <v>296</v>
      </c>
      <c r="B184" s="60">
        <v>45741.75</v>
      </c>
      <c r="C184" s="58" t="s">
        <v>327</v>
      </c>
      <c r="D184" s="59" t="s">
        <v>249</v>
      </c>
      <c r="E184" s="68" t="s">
        <v>51</v>
      </c>
      <c r="F184" s="59" t="s">
        <v>147</v>
      </c>
      <c r="G184" s="62"/>
      <c r="H184" s="62"/>
      <c r="I184" s="58"/>
      <c r="J184" s="58"/>
      <c r="K184" s="58"/>
      <c r="L184" s="58"/>
      <c r="M184" s="58"/>
      <c r="N184" s="8"/>
    </row>
    <row r="185" ht="15.75" customHeight="1">
      <c r="A185" s="69" t="s">
        <v>328</v>
      </c>
      <c r="B185" s="60">
        <v>45745.541666666664</v>
      </c>
      <c r="C185" s="58" t="s">
        <v>189</v>
      </c>
      <c r="D185" s="59" t="s">
        <v>249</v>
      </c>
      <c r="E185" s="68" t="s">
        <v>51</v>
      </c>
      <c r="F185" s="59" t="s">
        <v>147</v>
      </c>
      <c r="G185" s="62"/>
      <c r="H185" s="62"/>
      <c r="I185" s="58"/>
      <c r="J185" s="58"/>
      <c r="K185" s="58"/>
      <c r="L185" s="58"/>
      <c r="M185" s="58"/>
      <c r="N185" s="8"/>
    </row>
    <row r="186" ht="15.75" customHeight="1">
      <c r="A186" s="69" t="s">
        <v>329</v>
      </c>
      <c r="B186" s="73">
        <v>45722.333333333336</v>
      </c>
      <c r="C186" s="58" t="s">
        <v>200</v>
      </c>
      <c r="D186" s="58" t="s">
        <v>330</v>
      </c>
      <c r="E186" s="68" t="s">
        <v>51</v>
      </c>
      <c r="F186" s="59" t="s">
        <v>147</v>
      </c>
      <c r="G186" s="62"/>
      <c r="H186" s="62"/>
      <c r="I186" s="58"/>
      <c r="J186" s="58"/>
      <c r="K186" s="58"/>
      <c r="L186" s="58"/>
      <c r="M186" s="58"/>
      <c r="N186" s="8"/>
    </row>
    <row r="187" ht="15.75" customHeight="1">
      <c r="A187" s="69" t="s">
        <v>331</v>
      </c>
      <c r="B187" s="73">
        <v>45723.333333333336</v>
      </c>
      <c r="C187" s="58" t="s">
        <v>200</v>
      </c>
      <c r="D187" s="58" t="s">
        <v>332</v>
      </c>
      <c r="E187" s="68" t="s">
        <v>51</v>
      </c>
      <c r="F187" s="59" t="s">
        <v>147</v>
      </c>
      <c r="G187" s="62"/>
      <c r="H187" s="62"/>
      <c r="I187" s="58"/>
      <c r="J187" s="58"/>
      <c r="K187" s="58"/>
      <c r="L187" s="58"/>
      <c r="M187" s="58"/>
      <c r="N187" s="8"/>
    </row>
    <row r="188" ht="15.75" customHeight="1">
      <c r="A188" s="69" t="s">
        <v>333</v>
      </c>
      <c r="B188" s="73">
        <v>45724.333333333336</v>
      </c>
      <c r="C188" s="58" t="s">
        <v>192</v>
      </c>
      <c r="D188" s="58" t="s">
        <v>334</v>
      </c>
      <c r="E188" s="68" t="s">
        <v>51</v>
      </c>
      <c r="F188" s="59" t="s">
        <v>147</v>
      </c>
      <c r="G188" s="62"/>
      <c r="H188" s="62"/>
      <c r="I188" s="58"/>
      <c r="J188" s="58"/>
      <c r="K188" s="58"/>
      <c r="L188" s="58"/>
      <c r="M188" s="58"/>
      <c r="N188" s="8"/>
    </row>
    <row r="189" ht="15.75" customHeight="1">
      <c r="A189" s="69" t="s">
        <v>199</v>
      </c>
      <c r="B189" s="73">
        <v>45729.333333333336</v>
      </c>
      <c r="C189" s="58" t="s">
        <v>200</v>
      </c>
      <c r="D189" s="58" t="s">
        <v>335</v>
      </c>
      <c r="E189" s="68" t="s">
        <v>51</v>
      </c>
      <c r="F189" s="59" t="s">
        <v>147</v>
      </c>
      <c r="G189" s="62"/>
      <c r="H189" s="62"/>
      <c r="I189" s="58"/>
      <c r="J189" s="58"/>
      <c r="K189" s="58"/>
      <c r="L189" s="58"/>
      <c r="M189" s="58"/>
      <c r="N189" s="8"/>
    </row>
    <row r="190" ht="15.75" customHeight="1">
      <c r="A190" s="69" t="s">
        <v>336</v>
      </c>
      <c r="B190" s="73">
        <v>45734.333333333336</v>
      </c>
      <c r="C190" s="58" t="s">
        <v>209</v>
      </c>
      <c r="D190" s="58" t="s">
        <v>337</v>
      </c>
      <c r="E190" s="68" t="s">
        <v>51</v>
      </c>
      <c r="F190" s="59" t="s">
        <v>147</v>
      </c>
      <c r="G190" s="62"/>
      <c r="H190" s="62"/>
      <c r="I190" s="58"/>
      <c r="J190" s="58"/>
      <c r="K190" s="58"/>
      <c r="L190" s="58"/>
      <c r="M190" s="58"/>
      <c r="N190" s="8"/>
    </row>
    <row r="191" ht="15.75" customHeight="1">
      <c r="A191" s="69" t="s">
        <v>338</v>
      </c>
      <c r="B191" s="73">
        <v>45736.333333333336</v>
      </c>
      <c r="C191" s="58" t="s">
        <v>200</v>
      </c>
      <c r="D191" s="58" t="s">
        <v>339</v>
      </c>
      <c r="E191" s="68" t="s">
        <v>51</v>
      </c>
      <c r="F191" s="59" t="s">
        <v>147</v>
      </c>
      <c r="G191" s="62"/>
      <c r="H191" s="62"/>
      <c r="I191" s="58"/>
      <c r="J191" s="58"/>
      <c r="K191" s="58"/>
      <c r="L191" s="58"/>
      <c r="M191" s="58"/>
      <c r="N191" s="8"/>
    </row>
    <row r="192" ht="15.75" customHeight="1">
      <c r="A192" s="69" t="s">
        <v>340</v>
      </c>
      <c r="B192" s="73">
        <v>45742.333333333336</v>
      </c>
      <c r="C192" s="58" t="s">
        <v>200</v>
      </c>
      <c r="D192" s="58" t="s">
        <v>341</v>
      </c>
      <c r="E192" s="68" t="s">
        <v>51</v>
      </c>
      <c r="F192" s="59" t="s">
        <v>147</v>
      </c>
      <c r="G192" s="62"/>
      <c r="H192" s="62"/>
      <c r="I192" s="58"/>
      <c r="J192" s="58"/>
      <c r="K192" s="58"/>
      <c r="L192" s="58"/>
      <c r="M192" s="58"/>
      <c r="N192" s="8"/>
    </row>
    <row r="193" ht="15.75" customHeight="1">
      <c r="A193" s="69" t="s">
        <v>342</v>
      </c>
      <c r="B193" s="73">
        <v>45743.333333333336</v>
      </c>
      <c r="C193" s="58" t="s">
        <v>200</v>
      </c>
      <c r="D193" s="58" t="s">
        <v>343</v>
      </c>
      <c r="E193" s="68" t="s">
        <v>51</v>
      </c>
      <c r="F193" s="59" t="s">
        <v>147</v>
      </c>
      <c r="G193" s="62"/>
      <c r="H193" s="62"/>
      <c r="I193" s="58"/>
      <c r="J193" s="58"/>
      <c r="K193" s="58"/>
      <c r="L193" s="58"/>
      <c r="M193" s="58"/>
      <c r="N193" s="8"/>
    </row>
    <row r="194" ht="15.75" customHeight="1">
      <c r="A194" s="70" t="s">
        <v>344</v>
      </c>
      <c r="B194" s="76" t="s">
        <v>345</v>
      </c>
      <c r="C194" s="71" t="s">
        <v>346</v>
      </c>
      <c r="D194" s="71" t="s">
        <v>347</v>
      </c>
      <c r="E194" s="72" t="s">
        <v>51</v>
      </c>
      <c r="F194" s="71" t="s">
        <v>348</v>
      </c>
      <c r="G194" s="62"/>
      <c r="H194" s="62"/>
      <c r="I194" s="58"/>
      <c r="J194" s="58"/>
      <c r="K194" s="58"/>
      <c r="L194" s="58"/>
      <c r="M194" s="58"/>
      <c r="N194" s="8"/>
    </row>
    <row r="195" ht="15.75" customHeight="1">
      <c r="A195" s="70" t="s">
        <v>349</v>
      </c>
      <c r="B195" s="76">
        <v>45745.0</v>
      </c>
      <c r="C195" s="71" t="s">
        <v>196</v>
      </c>
      <c r="D195" s="71" t="s">
        <v>350</v>
      </c>
      <c r="E195" s="77" t="s">
        <v>351</v>
      </c>
      <c r="F195" s="71" t="s">
        <v>352</v>
      </c>
      <c r="G195" s="62"/>
      <c r="H195" s="62"/>
      <c r="I195" s="58"/>
      <c r="J195" s="58"/>
      <c r="K195" s="58"/>
      <c r="L195" s="58"/>
      <c r="M195" s="58"/>
      <c r="N195" s="8"/>
    </row>
    <row r="196" ht="15.75" customHeight="1">
      <c r="A196" s="70" t="s">
        <v>353</v>
      </c>
      <c r="B196" s="76">
        <v>45747.0</v>
      </c>
      <c r="C196" s="71" t="s">
        <v>196</v>
      </c>
      <c r="D196" s="71" t="s">
        <v>354</v>
      </c>
      <c r="E196" s="72" t="s">
        <v>51</v>
      </c>
      <c r="F196" s="71" t="s">
        <v>160</v>
      </c>
      <c r="G196" s="62"/>
      <c r="H196" s="62"/>
      <c r="I196" s="58"/>
      <c r="J196" s="58"/>
      <c r="K196" s="58"/>
      <c r="L196" s="58"/>
      <c r="M196" s="58"/>
      <c r="N196" s="8"/>
    </row>
    <row r="197" ht="15.75" customHeight="1">
      <c r="A197" s="69" t="s">
        <v>355</v>
      </c>
      <c r="B197" s="58" t="s">
        <v>356</v>
      </c>
      <c r="C197" s="58" t="s">
        <v>142</v>
      </c>
      <c r="D197" s="58" t="s">
        <v>357</v>
      </c>
      <c r="E197" s="78" t="s">
        <v>51</v>
      </c>
      <c r="F197" s="59" t="s">
        <v>147</v>
      </c>
      <c r="G197" s="62"/>
      <c r="H197" s="62"/>
      <c r="I197" s="58"/>
      <c r="J197" s="58"/>
      <c r="K197" s="58"/>
      <c r="L197" s="58"/>
      <c r="M197" s="58"/>
      <c r="N197" s="8"/>
    </row>
    <row r="198" ht="15.75" customHeight="1">
      <c r="A198" s="70" t="s">
        <v>358</v>
      </c>
      <c r="B198" s="76">
        <v>45748.0</v>
      </c>
      <c r="C198" s="71" t="s">
        <v>196</v>
      </c>
      <c r="D198" s="71" t="s">
        <v>359</v>
      </c>
      <c r="E198" s="72" t="s">
        <v>51</v>
      </c>
      <c r="F198" s="71" t="s">
        <v>160</v>
      </c>
      <c r="G198" s="62"/>
      <c r="H198" s="62"/>
      <c r="I198" s="58"/>
      <c r="J198" s="58"/>
      <c r="K198" s="58"/>
      <c r="L198" s="58"/>
      <c r="M198" s="58"/>
      <c r="N198" s="8"/>
    </row>
    <row r="199" ht="15.75" customHeight="1">
      <c r="A199" s="69" t="s">
        <v>360</v>
      </c>
      <c r="B199" s="58" t="s">
        <v>361</v>
      </c>
      <c r="C199" s="58" t="s">
        <v>142</v>
      </c>
      <c r="D199" s="58" t="s">
        <v>362</v>
      </c>
      <c r="E199" s="68" t="s">
        <v>51</v>
      </c>
      <c r="F199" s="58" t="s">
        <v>363</v>
      </c>
      <c r="G199" s="62"/>
      <c r="H199" s="62"/>
      <c r="I199" s="58"/>
      <c r="J199" s="58"/>
      <c r="K199" s="58"/>
      <c r="L199" s="58"/>
      <c r="M199" s="58"/>
      <c r="N199" s="8"/>
    </row>
    <row r="200" ht="15.75" customHeight="1">
      <c r="A200" s="64" t="s">
        <v>364</v>
      </c>
      <c r="B200" s="58" t="s">
        <v>365</v>
      </c>
      <c r="C200" s="58" t="s">
        <v>138</v>
      </c>
      <c r="D200" s="59" t="s">
        <v>249</v>
      </c>
      <c r="E200" s="68" t="s">
        <v>51</v>
      </c>
      <c r="F200" s="58" t="s">
        <v>160</v>
      </c>
      <c r="G200" s="62"/>
      <c r="H200" s="62"/>
      <c r="I200" s="58"/>
      <c r="J200" s="58"/>
      <c r="K200" s="58"/>
      <c r="L200" s="58"/>
      <c r="M200" s="58"/>
      <c r="N200" s="8"/>
    </row>
    <row r="201" ht="15.75" customHeight="1">
      <c r="A201" s="69" t="s">
        <v>366</v>
      </c>
      <c r="B201" s="58" t="s">
        <v>367</v>
      </c>
      <c r="C201" s="58" t="s">
        <v>142</v>
      </c>
      <c r="D201" s="58" t="s">
        <v>368</v>
      </c>
      <c r="E201" s="68" t="s">
        <v>51</v>
      </c>
      <c r="F201" s="58" t="s">
        <v>369</v>
      </c>
      <c r="G201" s="62"/>
      <c r="H201" s="62"/>
      <c r="I201" s="58"/>
      <c r="J201" s="58"/>
      <c r="K201" s="58"/>
      <c r="L201" s="58"/>
      <c r="M201" s="58"/>
      <c r="N201" s="8"/>
    </row>
    <row r="202" ht="15.75" customHeight="1">
      <c r="A202" s="75" t="s">
        <v>370</v>
      </c>
      <c r="B202" s="60">
        <v>45754.0</v>
      </c>
      <c r="C202" s="63" t="s">
        <v>371</v>
      </c>
      <c r="D202" s="63" t="s">
        <v>372</v>
      </c>
      <c r="E202" s="79" t="s">
        <v>371</v>
      </c>
      <c r="F202" s="58" t="s">
        <v>160</v>
      </c>
      <c r="G202" s="62">
        <v>18.0</v>
      </c>
      <c r="H202" s="62">
        <v>4.0</v>
      </c>
      <c r="I202" s="58"/>
      <c r="J202" s="58"/>
      <c r="K202" s="58"/>
      <c r="L202" s="58"/>
      <c r="M202" s="58"/>
      <c r="N202" s="8"/>
    </row>
    <row r="203" ht="15.75" customHeight="1">
      <c r="A203" s="69" t="s">
        <v>373</v>
      </c>
      <c r="B203" s="60">
        <v>45755.75</v>
      </c>
      <c r="C203" s="58" t="s">
        <v>142</v>
      </c>
      <c r="D203" s="58" t="s">
        <v>374</v>
      </c>
      <c r="E203" s="68" t="s">
        <v>51</v>
      </c>
      <c r="F203" s="58" t="s">
        <v>375</v>
      </c>
      <c r="G203" s="62"/>
      <c r="H203" s="62"/>
      <c r="I203" s="58"/>
      <c r="J203" s="58"/>
      <c r="K203" s="58"/>
      <c r="L203" s="58"/>
      <c r="M203" s="58"/>
      <c r="N203" s="8"/>
    </row>
    <row r="204" ht="15.75" customHeight="1">
      <c r="A204" s="64" t="s">
        <v>376</v>
      </c>
      <c r="B204" s="60">
        <v>45755.0</v>
      </c>
      <c r="C204" s="58" t="s">
        <v>138</v>
      </c>
      <c r="D204" s="58" t="s">
        <v>377</v>
      </c>
      <c r="E204" s="68" t="s">
        <v>51</v>
      </c>
      <c r="F204" s="58" t="s">
        <v>160</v>
      </c>
      <c r="G204" s="62"/>
      <c r="H204" s="62"/>
      <c r="I204" s="58"/>
      <c r="J204" s="58"/>
      <c r="K204" s="58"/>
      <c r="L204" s="58"/>
      <c r="M204" s="58"/>
      <c r="N204" s="8"/>
    </row>
    <row r="205" ht="15.75" customHeight="1">
      <c r="A205" s="69" t="s">
        <v>378</v>
      </c>
      <c r="B205" s="60">
        <v>45757.75</v>
      </c>
      <c r="C205" s="58" t="s">
        <v>142</v>
      </c>
      <c r="D205" s="58" t="s">
        <v>379</v>
      </c>
      <c r="E205" s="68" t="s">
        <v>51</v>
      </c>
      <c r="F205" s="58" t="s">
        <v>164</v>
      </c>
      <c r="G205" s="62"/>
      <c r="H205" s="62"/>
      <c r="I205" s="58"/>
      <c r="J205" s="58"/>
      <c r="K205" s="58"/>
      <c r="L205" s="58"/>
      <c r="M205" s="58"/>
      <c r="N205" s="8"/>
    </row>
    <row r="206" ht="15.75" customHeight="1">
      <c r="A206" s="69" t="s">
        <v>380</v>
      </c>
      <c r="B206" s="60">
        <v>45758.75</v>
      </c>
      <c r="C206" s="58" t="s">
        <v>142</v>
      </c>
      <c r="D206" s="58" t="s">
        <v>381</v>
      </c>
      <c r="E206" s="68" t="s">
        <v>51</v>
      </c>
      <c r="F206" s="59" t="s">
        <v>382</v>
      </c>
      <c r="G206" s="62"/>
      <c r="H206" s="62"/>
      <c r="I206" s="58"/>
      <c r="J206" s="58"/>
      <c r="K206" s="58"/>
      <c r="L206" s="58"/>
      <c r="M206" s="58"/>
      <c r="N206" s="8"/>
    </row>
    <row r="207" ht="15.75" customHeight="1">
      <c r="A207" s="64" t="s">
        <v>383</v>
      </c>
      <c r="B207" s="58" t="s">
        <v>384</v>
      </c>
      <c r="C207" s="58" t="s">
        <v>142</v>
      </c>
      <c r="D207" s="58" t="s">
        <v>385</v>
      </c>
      <c r="E207" s="68" t="s">
        <v>51</v>
      </c>
      <c r="F207" s="59" t="s">
        <v>160</v>
      </c>
      <c r="G207" s="62"/>
      <c r="H207" s="62"/>
      <c r="I207" s="58"/>
      <c r="J207" s="58"/>
      <c r="K207" s="58"/>
      <c r="L207" s="58"/>
      <c r="M207" s="58"/>
      <c r="N207" s="8"/>
    </row>
    <row r="208" ht="15.75" customHeight="1">
      <c r="A208" s="69" t="s">
        <v>190</v>
      </c>
      <c r="B208" s="60">
        <v>45777.541666666664</v>
      </c>
      <c r="C208" s="58" t="s">
        <v>142</v>
      </c>
      <c r="D208" s="58" t="s">
        <v>386</v>
      </c>
      <c r="E208" s="68" t="s">
        <v>51</v>
      </c>
      <c r="F208" s="59" t="s">
        <v>164</v>
      </c>
      <c r="G208" s="62"/>
      <c r="H208" s="62"/>
      <c r="I208" s="58"/>
      <c r="J208" s="58"/>
      <c r="K208" s="58"/>
      <c r="L208" s="58"/>
      <c r="M208" s="58"/>
      <c r="N208" s="8"/>
    </row>
    <row r="209" ht="15.75" customHeight="1">
      <c r="A209" s="69" t="s">
        <v>296</v>
      </c>
      <c r="B209" s="60">
        <v>45748.75</v>
      </c>
      <c r="C209" s="58" t="s">
        <v>189</v>
      </c>
      <c r="D209" s="58" t="s">
        <v>387</v>
      </c>
      <c r="E209" s="68" t="s">
        <v>51</v>
      </c>
      <c r="F209" s="59" t="s">
        <v>388</v>
      </c>
      <c r="G209" s="62"/>
      <c r="H209" s="62"/>
      <c r="I209" s="58"/>
      <c r="J209" s="58"/>
      <c r="K209" s="58"/>
      <c r="L209" s="58"/>
      <c r="M209" s="58"/>
      <c r="N209" s="8"/>
    </row>
    <row r="210" ht="15.75" customHeight="1">
      <c r="A210" s="69" t="s">
        <v>389</v>
      </c>
      <c r="B210" s="60">
        <v>45750.5</v>
      </c>
      <c r="C210" s="58" t="s">
        <v>155</v>
      </c>
      <c r="D210" s="58" t="s">
        <v>390</v>
      </c>
      <c r="E210" s="68" t="s">
        <v>51</v>
      </c>
      <c r="F210" s="59" t="s">
        <v>164</v>
      </c>
      <c r="G210" s="62"/>
      <c r="H210" s="62"/>
      <c r="I210" s="58"/>
      <c r="J210" s="58"/>
      <c r="K210" s="58"/>
      <c r="L210" s="58"/>
      <c r="M210" s="58"/>
      <c r="N210" s="8"/>
    </row>
    <row r="211" ht="15.75" customHeight="1">
      <c r="A211" s="69" t="s">
        <v>391</v>
      </c>
      <c r="B211" s="60">
        <v>45750.916666666664</v>
      </c>
      <c r="C211" s="58" t="s">
        <v>186</v>
      </c>
      <c r="D211" s="58" t="s">
        <v>392</v>
      </c>
      <c r="E211" s="68" t="s">
        <v>51</v>
      </c>
      <c r="F211" s="58" t="s">
        <v>393</v>
      </c>
      <c r="G211" s="62"/>
      <c r="H211" s="62"/>
      <c r="I211" s="58"/>
      <c r="J211" s="58"/>
      <c r="K211" s="58"/>
      <c r="L211" s="58"/>
      <c r="M211" s="58"/>
      <c r="N211" s="8"/>
    </row>
    <row r="212" ht="15.75" customHeight="1">
      <c r="A212" s="69" t="s">
        <v>394</v>
      </c>
      <c r="B212" s="58" t="s">
        <v>365</v>
      </c>
      <c r="C212" s="58" t="s">
        <v>327</v>
      </c>
      <c r="D212" s="58" t="s">
        <v>395</v>
      </c>
      <c r="E212" s="68" t="s">
        <v>51</v>
      </c>
      <c r="F212" s="59" t="s">
        <v>396</v>
      </c>
      <c r="G212" s="62"/>
      <c r="H212" s="62"/>
      <c r="I212" s="58"/>
      <c r="J212" s="58"/>
      <c r="K212" s="58"/>
      <c r="L212" s="58"/>
      <c r="M212" s="58"/>
      <c r="N212" s="8"/>
    </row>
    <row r="213" ht="15.75" customHeight="1">
      <c r="A213" s="69" t="s">
        <v>397</v>
      </c>
      <c r="B213" s="58" t="s">
        <v>398</v>
      </c>
      <c r="C213" s="58" t="s">
        <v>189</v>
      </c>
      <c r="D213" s="58" t="s">
        <v>399</v>
      </c>
      <c r="E213" s="68" t="s">
        <v>51</v>
      </c>
      <c r="F213" s="58" t="s">
        <v>400</v>
      </c>
      <c r="G213" s="62"/>
      <c r="H213" s="62"/>
      <c r="I213" s="58"/>
      <c r="J213" s="58"/>
      <c r="K213" s="58"/>
      <c r="L213" s="58"/>
      <c r="M213" s="58"/>
      <c r="N213" s="8"/>
    </row>
    <row r="214" ht="15.75" customHeight="1">
      <c r="A214" s="69" t="s">
        <v>401</v>
      </c>
      <c r="B214" s="60">
        <v>45756.541666666664</v>
      </c>
      <c r="C214" s="58" t="s">
        <v>155</v>
      </c>
      <c r="D214" s="58" t="s">
        <v>402</v>
      </c>
      <c r="E214" s="68" t="s">
        <v>51</v>
      </c>
      <c r="F214" s="59" t="s">
        <v>396</v>
      </c>
      <c r="G214" s="62"/>
      <c r="H214" s="62"/>
      <c r="I214" s="58"/>
      <c r="J214" s="58"/>
      <c r="K214" s="58"/>
      <c r="L214" s="58"/>
      <c r="M214" s="58"/>
      <c r="N214" s="8"/>
    </row>
    <row r="215" ht="15.75" customHeight="1">
      <c r="A215" s="69" t="s">
        <v>403</v>
      </c>
      <c r="B215" s="60">
        <v>45757.541666666664</v>
      </c>
      <c r="C215" s="58" t="s">
        <v>189</v>
      </c>
      <c r="D215" s="58" t="s">
        <v>404</v>
      </c>
      <c r="E215" s="68" t="s">
        <v>51</v>
      </c>
      <c r="F215" s="59" t="s">
        <v>396</v>
      </c>
      <c r="G215" s="62"/>
      <c r="H215" s="62"/>
      <c r="I215" s="58"/>
      <c r="J215" s="58"/>
      <c r="K215" s="58"/>
      <c r="L215" s="58"/>
      <c r="M215" s="58"/>
      <c r="N215" s="8"/>
    </row>
    <row r="216" ht="15.75" customHeight="1">
      <c r="A216" s="64" t="s">
        <v>405</v>
      </c>
      <c r="B216" s="58" t="s">
        <v>406</v>
      </c>
      <c r="C216" s="58" t="s">
        <v>189</v>
      </c>
      <c r="D216" s="58" t="s">
        <v>407</v>
      </c>
      <c r="E216" s="68" t="s">
        <v>51</v>
      </c>
      <c r="F216" s="58" t="s">
        <v>160</v>
      </c>
      <c r="G216" s="62"/>
      <c r="H216" s="62"/>
      <c r="I216" s="58"/>
      <c r="J216" s="58"/>
      <c r="K216" s="58"/>
      <c r="L216" s="58"/>
      <c r="M216" s="58"/>
      <c r="N216" s="8"/>
    </row>
    <row r="217" ht="15.75" customHeight="1">
      <c r="A217" s="69" t="s">
        <v>408</v>
      </c>
      <c r="B217" s="60">
        <v>45772.5</v>
      </c>
      <c r="C217" s="58" t="s">
        <v>186</v>
      </c>
      <c r="D217" s="58" t="s">
        <v>409</v>
      </c>
      <c r="E217" s="68" t="s">
        <v>51</v>
      </c>
      <c r="F217" s="59" t="s">
        <v>410</v>
      </c>
      <c r="G217" s="62"/>
      <c r="H217" s="62"/>
      <c r="I217" s="58"/>
      <c r="J217" s="58"/>
      <c r="K217" s="58"/>
      <c r="L217" s="58"/>
      <c r="M217" s="58"/>
      <c r="N217" s="8"/>
    </row>
    <row r="218" ht="15.75" customHeight="1">
      <c r="A218" s="69" t="s">
        <v>411</v>
      </c>
      <c r="B218" s="60">
        <v>45772.75</v>
      </c>
      <c r="C218" s="58" t="s">
        <v>189</v>
      </c>
      <c r="D218" s="58" t="s">
        <v>412</v>
      </c>
      <c r="E218" s="68" t="s">
        <v>51</v>
      </c>
      <c r="F218" s="59" t="s">
        <v>413</v>
      </c>
      <c r="G218" s="62"/>
      <c r="H218" s="62"/>
      <c r="I218" s="58"/>
      <c r="J218" s="58"/>
      <c r="K218" s="58"/>
      <c r="L218" s="58"/>
      <c r="M218" s="58"/>
      <c r="N218" s="8"/>
    </row>
    <row r="219" ht="15.75" customHeight="1">
      <c r="A219" s="69" t="s">
        <v>414</v>
      </c>
      <c r="B219" s="60">
        <v>45773.75</v>
      </c>
      <c r="C219" s="58" t="s">
        <v>186</v>
      </c>
      <c r="D219" s="58" t="s">
        <v>415</v>
      </c>
      <c r="E219" s="68" t="s">
        <v>51</v>
      </c>
      <c r="F219" s="59" t="s">
        <v>157</v>
      </c>
      <c r="G219" s="62"/>
      <c r="H219" s="62"/>
      <c r="I219" s="58"/>
      <c r="J219" s="58"/>
      <c r="K219" s="58"/>
      <c r="L219" s="58"/>
      <c r="M219" s="58"/>
      <c r="N219" s="8"/>
    </row>
    <row r="220" ht="15.75" customHeight="1">
      <c r="A220" s="69" t="s">
        <v>416</v>
      </c>
      <c r="B220" s="60">
        <v>45774.583333333336</v>
      </c>
      <c r="C220" s="58" t="s">
        <v>189</v>
      </c>
      <c r="D220" s="58" t="s">
        <v>417</v>
      </c>
      <c r="E220" s="68" t="s">
        <v>51</v>
      </c>
      <c r="F220" s="58" t="s">
        <v>418</v>
      </c>
      <c r="G220" s="62"/>
      <c r="H220" s="62"/>
      <c r="I220" s="58"/>
      <c r="J220" s="58"/>
      <c r="K220" s="58"/>
      <c r="L220" s="58"/>
      <c r="M220" s="58"/>
      <c r="N220" s="8"/>
    </row>
    <row r="221" ht="15.75" customHeight="1">
      <c r="A221" s="69" t="s">
        <v>419</v>
      </c>
      <c r="B221" s="60">
        <v>45776.958333333336</v>
      </c>
      <c r="C221" s="58" t="s">
        <v>186</v>
      </c>
      <c r="D221" s="58" t="s">
        <v>420</v>
      </c>
      <c r="E221" s="68" t="s">
        <v>51</v>
      </c>
      <c r="F221" s="58" t="s">
        <v>421</v>
      </c>
      <c r="G221" s="62"/>
      <c r="H221" s="62"/>
      <c r="I221" s="58"/>
      <c r="J221" s="58"/>
      <c r="K221" s="58"/>
      <c r="L221" s="58"/>
      <c r="M221" s="58"/>
      <c r="N221" s="8"/>
    </row>
    <row r="222" ht="15.75" customHeight="1">
      <c r="A222" s="69" t="s">
        <v>422</v>
      </c>
      <c r="B222" s="60">
        <v>45777.75</v>
      </c>
      <c r="C222" s="58" t="s">
        <v>189</v>
      </c>
      <c r="D222" s="58" t="s">
        <v>423</v>
      </c>
      <c r="E222" s="68" t="s">
        <v>51</v>
      </c>
      <c r="F222" s="58" t="s">
        <v>421</v>
      </c>
      <c r="G222" s="62"/>
      <c r="H222" s="62"/>
      <c r="I222" s="58"/>
      <c r="J222" s="58"/>
      <c r="K222" s="58"/>
      <c r="L222" s="58"/>
      <c r="M222" s="58"/>
      <c r="N222" s="8"/>
    </row>
    <row r="223" ht="15.75" customHeight="1">
      <c r="A223" s="69" t="s">
        <v>424</v>
      </c>
      <c r="B223" s="60">
        <v>45749.916666666664</v>
      </c>
      <c r="C223" s="58" t="s">
        <v>252</v>
      </c>
      <c r="D223" s="58" t="s">
        <v>425</v>
      </c>
      <c r="E223" s="68" t="s">
        <v>51</v>
      </c>
      <c r="F223" s="58" t="s">
        <v>426</v>
      </c>
      <c r="G223" s="62"/>
      <c r="H223" s="62"/>
      <c r="I223" s="58"/>
      <c r="J223" s="58"/>
      <c r="K223" s="58"/>
      <c r="L223" s="58"/>
      <c r="M223" s="58"/>
      <c r="N223" s="8"/>
    </row>
    <row r="224" ht="15.75" customHeight="1">
      <c r="A224" s="69" t="s">
        <v>427</v>
      </c>
      <c r="B224" s="60">
        <v>45750.833333333336</v>
      </c>
      <c r="C224" s="58" t="s">
        <v>252</v>
      </c>
      <c r="D224" s="58" t="s">
        <v>428</v>
      </c>
      <c r="E224" s="68" t="s">
        <v>51</v>
      </c>
      <c r="F224" s="58" t="s">
        <v>160</v>
      </c>
      <c r="G224" s="62"/>
      <c r="H224" s="62"/>
      <c r="I224" s="58"/>
      <c r="J224" s="58"/>
      <c r="K224" s="58"/>
      <c r="L224" s="58"/>
      <c r="M224" s="58"/>
      <c r="N224" s="8"/>
    </row>
    <row r="225" ht="15.75" customHeight="1">
      <c r="A225" s="69" t="s">
        <v>429</v>
      </c>
      <c r="B225" s="60">
        <v>45761.916666666664</v>
      </c>
      <c r="C225" s="58" t="s">
        <v>252</v>
      </c>
      <c r="D225" s="58" t="s">
        <v>430</v>
      </c>
      <c r="E225" s="68" t="s">
        <v>51</v>
      </c>
      <c r="F225" s="59" t="s">
        <v>431</v>
      </c>
      <c r="G225" s="62"/>
      <c r="H225" s="62"/>
      <c r="I225" s="58"/>
      <c r="J225" s="58"/>
      <c r="K225" s="58"/>
      <c r="L225" s="58"/>
      <c r="M225" s="58"/>
      <c r="N225" s="8"/>
    </row>
    <row r="226" ht="15.75" customHeight="1">
      <c r="A226" s="69" t="s">
        <v>432</v>
      </c>
      <c r="B226" s="58" t="s">
        <v>433</v>
      </c>
      <c r="C226" s="58" t="s">
        <v>252</v>
      </c>
      <c r="D226" s="58" t="s">
        <v>434</v>
      </c>
      <c r="E226" s="68" t="s">
        <v>51</v>
      </c>
      <c r="F226" s="58" t="s">
        <v>435</v>
      </c>
      <c r="G226" s="62"/>
      <c r="H226" s="62"/>
      <c r="I226" s="58"/>
      <c r="J226" s="58"/>
      <c r="K226" s="58"/>
      <c r="L226" s="58"/>
      <c r="M226" s="58"/>
      <c r="N226" s="8"/>
    </row>
    <row r="227" ht="15.75" customHeight="1">
      <c r="A227" s="69" t="s">
        <v>436</v>
      </c>
      <c r="B227" s="60">
        <v>45764.541666666664</v>
      </c>
      <c r="C227" s="58" t="s">
        <v>252</v>
      </c>
      <c r="D227" s="58" t="s">
        <v>437</v>
      </c>
      <c r="E227" s="68" t="s">
        <v>51</v>
      </c>
      <c r="F227" s="58" t="s">
        <v>438</v>
      </c>
      <c r="G227" s="62"/>
      <c r="H227" s="62"/>
      <c r="I227" s="58"/>
      <c r="J227" s="58"/>
      <c r="K227" s="58"/>
      <c r="L227" s="58"/>
      <c r="M227" s="58"/>
      <c r="N227" s="8"/>
    </row>
    <row r="228" ht="15.75" customHeight="1">
      <c r="A228" s="64" t="s">
        <v>439</v>
      </c>
      <c r="B228" s="60">
        <v>45770.75</v>
      </c>
      <c r="C228" s="58" t="s">
        <v>252</v>
      </c>
      <c r="D228" s="58" t="s">
        <v>440</v>
      </c>
      <c r="E228" s="68" t="s">
        <v>51</v>
      </c>
      <c r="F228" s="58" t="s">
        <v>441</v>
      </c>
      <c r="G228" s="62"/>
      <c r="H228" s="62"/>
      <c r="I228" s="58"/>
      <c r="J228" s="58"/>
      <c r="K228" s="58"/>
      <c r="L228" s="58"/>
      <c r="M228" s="58"/>
      <c r="N228" s="8"/>
    </row>
    <row r="229" ht="15.75" customHeight="1">
      <c r="A229" s="69" t="s">
        <v>442</v>
      </c>
      <c r="B229" s="60">
        <v>45770.958333333336</v>
      </c>
      <c r="C229" s="58" t="s">
        <v>252</v>
      </c>
      <c r="D229" s="58" t="s">
        <v>443</v>
      </c>
      <c r="E229" s="68" t="s">
        <v>51</v>
      </c>
      <c r="F229" s="59" t="s">
        <v>444</v>
      </c>
      <c r="G229" s="62"/>
      <c r="H229" s="62"/>
      <c r="I229" s="58"/>
      <c r="J229" s="58"/>
      <c r="K229" s="58"/>
      <c r="L229" s="58"/>
      <c r="M229" s="58"/>
      <c r="N229" s="8"/>
    </row>
    <row r="230" ht="15.75" customHeight="1">
      <c r="A230" s="69" t="s">
        <v>445</v>
      </c>
      <c r="B230" s="60">
        <v>45771.833333333336</v>
      </c>
      <c r="C230" s="58" t="s">
        <v>252</v>
      </c>
      <c r="D230" s="58" t="s">
        <v>446</v>
      </c>
      <c r="E230" s="68" t="s">
        <v>51</v>
      </c>
      <c r="F230" s="59" t="s">
        <v>160</v>
      </c>
      <c r="G230" s="62"/>
      <c r="H230" s="62"/>
      <c r="I230" s="58"/>
      <c r="J230" s="58"/>
      <c r="K230" s="58"/>
      <c r="L230" s="58"/>
      <c r="M230" s="58"/>
      <c r="N230" s="8"/>
    </row>
    <row r="231" ht="15.75" customHeight="1">
      <c r="A231" s="64" t="s">
        <v>447</v>
      </c>
      <c r="B231" s="58" t="s">
        <v>361</v>
      </c>
      <c r="C231" s="58" t="s">
        <v>175</v>
      </c>
      <c r="D231" s="58" t="s">
        <v>448</v>
      </c>
      <c r="E231" s="68" t="s">
        <v>51</v>
      </c>
      <c r="F231" s="58" t="s">
        <v>449</v>
      </c>
      <c r="G231" s="62"/>
      <c r="H231" s="62"/>
      <c r="I231" s="58"/>
      <c r="J231" s="58"/>
      <c r="K231" s="58"/>
      <c r="L231" s="58"/>
      <c r="M231" s="58"/>
      <c r="N231" s="8"/>
    </row>
    <row r="232" ht="15.75" customHeight="1">
      <c r="A232" s="69" t="s">
        <v>280</v>
      </c>
      <c r="B232" s="60">
        <v>45764.541666666664</v>
      </c>
      <c r="C232" s="58" t="s">
        <v>175</v>
      </c>
      <c r="D232" s="58" t="s">
        <v>450</v>
      </c>
      <c r="E232" s="68" t="s">
        <v>51</v>
      </c>
      <c r="F232" s="58" t="s">
        <v>451</v>
      </c>
      <c r="G232" s="62"/>
      <c r="H232" s="62"/>
      <c r="I232" s="58"/>
      <c r="J232" s="58"/>
      <c r="K232" s="58"/>
      <c r="L232" s="58"/>
      <c r="M232" s="58"/>
      <c r="N232" s="8"/>
    </row>
    <row r="233" ht="15.75" customHeight="1">
      <c r="A233" s="69" t="s">
        <v>452</v>
      </c>
      <c r="B233" s="60">
        <v>45772.75</v>
      </c>
      <c r="C233" s="58" t="s">
        <v>175</v>
      </c>
      <c r="D233" s="58" t="s">
        <v>453</v>
      </c>
      <c r="E233" s="68" t="s">
        <v>51</v>
      </c>
      <c r="F233" s="58" t="s">
        <v>147</v>
      </c>
      <c r="G233" s="62"/>
      <c r="H233" s="62"/>
      <c r="I233" s="58"/>
      <c r="J233" s="58"/>
      <c r="K233" s="58"/>
      <c r="L233" s="58"/>
      <c r="M233" s="58"/>
      <c r="N233" s="8"/>
    </row>
    <row r="234" ht="15.75" customHeight="1">
      <c r="A234" s="69" t="s">
        <v>72</v>
      </c>
      <c r="B234" s="60">
        <v>45751.541666666664</v>
      </c>
      <c r="C234" s="58" t="s">
        <v>454</v>
      </c>
      <c r="D234" s="58" t="s">
        <v>455</v>
      </c>
      <c r="E234" s="68" t="s">
        <v>51</v>
      </c>
      <c r="F234" s="58" t="s">
        <v>438</v>
      </c>
      <c r="G234" s="62"/>
      <c r="H234" s="62"/>
      <c r="I234" s="58"/>
      <c r="J234" s="58"/>
      <c r="K234" s="58"/>
      <c r="L234" s="58"/>
      <c r="M234" s="58"/>
      <c r="N234" s="8"/>
    </row>
    <row r="235" ht="15.75" customHeight="1">
      <c r="A235" s="69" t="s">
        <v>439</v>
      </c>
      <c r="B235" s="60">
        <v>45762.791666666664</v>
      </c>
      <c r="C235" s="58" t="s">
        <v>454</v>
      </c>
      <c r="D235" s="58" t="s">
        <v>456</v>
      </c>
      <c r="E235" s="68" t="s">
        <v>51</v>
      </c>
      <c r="F235" s="58" t="s">
        <v>441</v>
      </c>
      <c r="G235" s="62"/>
      <c r="H235" s="62"/>
      <c r="I235" s="58"/>
      <c r="J235" s="58"/>
      <c r="K235" s="58"/>
      <c r="L235" s="58"/>
      <c r="M235" s="58"/>
      <c r="N235" s="8"/>
    </row>
    <row r="236" ht="15.75" customHeight="1">
      <c r="A236" s="69" t="s">
        <v>457</v>
      </c>
      <c r="B236" s="60">
        <v>45763.958333333336</v>
      </c>
      <c r="C236" s="58" t="s">
        <v>454</v>
      </c>
      <c r="D236" s="58" t="s">
        <v>458</v>
      </c>
      <c r="E236" s="68" t="s">
        <v>51</v>
      </c>
      <c r="F236" s="58" t="s">
        <v>459</v>
      </c>
      <c r="G236" s="62"/>
      <c r="H236" s="62"/>
      <c r="I236" s="58"/>
      <c r="J236" s="58"/>
      <c r="K236" s="58"/>
      <c r="L236" s="58"/>
      <c r="M236" s="58"/>
      <c r="N236" s="8"/>
    </row>
    <row r="237" ht="15.75" customHeight="1">
      <c r="A237" s="69" t="s">
        <v>460</v>
      </c>
      <c r="B237" s="60">
        <v>45771.541666666664</v>
      </c>
      <c r="C237" s="58" t="s">
        <v>454</v>
      </c>
      <c r="D237" s="58" t="s">
        <v>461</v>
      </c>
      <c r="E237" s="68" t="s">
        <v>51</v>
      </c>
      <c r="F237" s="58" t="s">
        <v>462</v>
      </c>
      <c r="G237" s="62"/>
      <c r="H237" s="62"/>
      <c r="I237" s="58"/>
      <c r="J237" s="58"/>
      <c r="K237" s="58"/>
      <c r="L237" s="58"/>
      <c r="M237" s="58"/>
      <c r="N237" s="8"/>
    </row>
    <row r="238" ht="15.75" customHeight="1">
      <c r="A238" s="69" t="s">
        <v>411</v>
      </c>
      <c r="B238" s="60">
        <v>45772.75</v>
      </c>
      <c r="C238" s="58" t="s">
        <v>454</v>
      </c>
      <c r="D238" s="58" t="s">
        <v>463</v>
      </c>
      <c r="E238" s="68" t="s">
        <v>51</v>
      </c>
      <c r="F238" s="58" t="s">
        <v>464</v>
      </c>
      <c r="G238" s="62"/>
      <c r="H238" s="62"/>
      <c r="I238" s="58"/>
      <c r="J238" s="58"/>
      <c r="K238" s="58"/>
      <c r="L238" s="58"/>
      <c r="M238" s="58"/>
      <c r="N238" s="8"/>
    </row>
    <row r="239" ht="15.75" customHeight="1">
      <c r="A239" s="64" t="s">
        <v>465</v>
      </c>
      <c r="B239" s="60">
        <v>45776.0</v>
      </c>
      <c r="C239" s="58" t="s">
        <v>49</v>
      </c>
      <c r="D239" s="58" t="s">
        <v>466</v>
      </c>
      <c r="E239" s="74" t="s">
        <v>51</v>
      </c>
      <c r="F239" s="58" t="s">
        <v>467</v>
      </c>
      <c r="G239" s="62"/>
      <c r="H239" s="62"/>
      <c r="I239" s="58"/>
      <c r="J239" s="58"/>
      <c r="K239" s="58"/>
      <c r="L239" s="58"/>
      <c r="M239" s="58"/>
      <c r="N239" s="8"/>
    </row>
    <row r="240" ht="15.75" customHeight="1">
      <c r="A240" s="70" t="s">
        <v>468</v>
      </c>
      <c r="B240" s="76">
        <v>45776.0</v>
      </c>
      <c r="C240" s="71" t="s">
        <v>469</v>
      </c>
      <c r="D240" s="71" t="s">
        <v>470</v>
      </c>
      <c r="E240" s="72" t="s">
        <v>51</v>
      </c>
      <c r="F240" s="71" t="s">
        <v>160</v>
      </c>
      <c r="G240" s="62"/>
      <c r="H240" s="62"/>
      <c r="I240" s="58"/>
      <c r="J240" s="58"/>
      <c r="K240" s="58"/>
      <c r="L240" s="58"/>
      <c r="M240" s="58"/>
      <c r="N240" s="8"/>
    </row>
    <row r="241" ht="15.75" customHeight="1">
      <c r="A241" s="69" t="s">
        <v>471</v>
      </c>
      <c r="B241" s="60">
        <v>45777.541666666664</v>
      </c>
      <c r="C241" s="58" t="s">
        <v>454</v>
      </c>
      <c r="D241" s="58" t="s">
        <v>472</v>
      </c>
      <c r="E241" s="68" t="s">
        <v>51</v>
      </c>
      <c r="F241" s="58" t="s">
        <v>438</v>
      </c>
      <c r="G241" s="62"/>
      <c r="H241" s="62"/>
      <c r="I241" s="58"/>
      <c r="J241" s="58"/>
      <c r="K241" s="58"/>
      <c r="L241" s="58"/>
      <c r="M241" s="58"/>
      <c r="N241" s="8"/>
    </row>
    <row r="242" ht="15.75" customHeight="1">
      <c r="A242" s="69" t="s">
        <v>473</v>
      </c>
      <c r="B242" s="60">
        <v>45777.75</v>
      </c>
      <c r="C242" s="58" t="s">
        <v>454</v>
      </c>
      <c r="D242" s="58" t="s">
        <v>474</v>
      </c>
      <c r="E242" s="68" t="s">
        <v>51</v>
      </c>
      <c r="F242" s="58" t="s">
        <v>438</v>
      </c>
      <c r="G242" s="62"/>
      <c r="H242" s="62"/>
      <c r="I242" s="58"/>
      <c r="J242" s="58"/>
      <c r="K242" s="58"/>
      <c r="L242" s="58"/>
      <c r="M242" s="58"/>
      <c r="N242" s="8"/>
    </row>
    <row r="243" ht="15.75" customHeight="1">
      <c r="A243" s="64" t="s">
        <v>475</v>
      </c>
      <c r="B243" s="60">
        <v>45778.0</v>
      </c>
      <c r="C243" s="58" t="s">
        <v>49</v>
      </c>
      <c r="D243" s="58" t="s">
        <v>476</v>
      </c>
      <c r="E243" s="68" t="s">
        <v>51</v>
      </c>
      <c r="F243" s="58" t="s">
        <v>477</v>
      </c>
      <c r="G243" s="62"/>
      <c r="H243" s="62"/>
      <c r="I243" s="58"/>
      <c r="J243" s="58"/>
      <c r="K243" s="58"/>
      <c r="L243" s="58"/>
      <c r="M243" s="58"/>
      <c r="N243" s="8"/>
    </row>
    <row r="244" ht="15.75" customHeight="1">
      <c r="A244" s="64" t="s">
        <v>478</v>
      </c>
      <c r="B244" s="60">
        <v>45783.0</v>
      </c>
      <c r="C244" s="58" t="s">
        <v>252</v>
      </c>
      <c r="D244" s="58" t="s">
        <v>479</v>
      </c>
      <c r="E244" s="68" t="s">
        <v>51</v>
      </c>
      <c r="F244" s="58" t="s">
        <v>480</v>
      </c>
      <c r="G244" s="62"/>
      <c r="H244" s="62"/>
      <c r="I244" s="58"/>
      <c r="J244" s="58"/>
      <c r="K244" s="58"/>
      <c r="L244" s="58"/>
      <c r="M244" s="58"/>
      <c r="N244" s="8"/>
    </row>
    <row r="245" ht="15.75" customHeight="1">
      <c r="A245" s="69" t="s">
        <v>481</v>
      </c>
      <c r="B245" s="58" t="s">
        <v>482</v>
      </c>
      <c r="C245" s="58" t="s">
        <v>189</v>
      </c>
      <c r="D245" s="58" t="s">
        <v>483</v>
      </c>
      <c r="E245" s="68" t="s">
        <v>51</v>
      </c>
      <c r="F245" s="58" t="s">
        <v>484</v>
      </c>
      <c r="G245" s="62"/>
      <c r="H245" s="62"/>
      <c r="I245" s="58"/>
      <c r="J245" s="58"/>
      <c r="K245" s="58"/>
      <c r="L245" s="58"/>
      <c r="M245" s="58"/>
      <c r="N245" s="8"/>
    </row>
    <row r="246" ht="15.75" customHeight="1">
      <c r="A246" s="69" t="s">
        <v>485</v>
      </c>
      <c r="B246" s="60">
        <v>45784.541666666664</v>
      </c>
      <c r="C246" s="58" t="s">
        <v>252</v>
      </c>
      <c r="D246" s="58" t="s">
        <v>486</v>
      </c>
      <c r="E246" s="68" t="s">
        <v>51</v>
      </c>
      <c r="F246" s="58" t="s">
        <v>487</v>
      </c>
      <c r="G246" s="62"/>
      <c r="H246" s="62"/>
      <c r="I246" s="58"/>
      <c r="J246" s="58"/>
      <c r="K246" s="58"/>
      <c r="L246" s="58"/>
      <c r="M246" s="58"/>
      <c r="N246" s="8"/>
    </row>
    <row r="247" ht="15.75" customHeight="1">
      <c r="A247" s="75" t="s">
        <v>488</v>
      </c>
      <c r="B247" s="80">
        <v>45790.0</v>
      </c>
      <c r="C247" s="63" t="s">
        <v>371</v>
      </c>
      <c r="D247" s="62" t="s">
        <v>489</v>
      </c>
      <c r="E247" s="79" t="s">
        <v>371</v>
      </c>
      <c r="F247" s="62" t="s">
        <v>490</v>
      </c>
      <c r="G247" s="81">
        <v>25.0</v>
      </c>
      <c r="H247" s="81">
        <v>8.0</v>
      </c>
      <c r="I247" s="58"/>
      <c r="J247" s="58"/>
      <c r="K247" s="58"/>
      <c r="L247" s="58"/>
      <c r="M247" s="58"/>
      <c r="N247" s="8"/>
    </row>
    <row r="248" ht="15.75" customHeight="1">
      <c r="A248" s="69" t="s">
        <v>491</v>
      </c>
      <c r="B248" s="60">
        <v>45791.75</v>
      </c>
      <c r="C248" s="58" t="s">
        <v>252</v>
      </c>
      <c r="D248" s="59" t="s">
        <v>492</v>
      </c>
      <c r="E248" s="68" t="s">
        <v>51</v>
      </c>
      <c r="F248" s="59" t="s">
        <v>164</v>
      </c>
      <c r="G248" s="62"/>
      <c r="H248" s="62"/>
      <c r="I248" s="58"/>
      <c r="J248" s="58"/>
      <c r="K248" s="58"/>
      <c r="L248" s="58"/>
      <c r="M248" s="58"/>
      <c r="N248" s="8"/>
    </row>
    <row r="249" ht="15.75" customHeight="1">
      <c r="A249" s="69" t="s">
        <v>424</v>
      </c>
      <c r="B249" s="60">
        <v>45791.958333333336</v>
      </c>
      <c r="C249" s="58" t="s">
        <v>252</v>
      </c>
      <c r="D249" s="58" t="s">
        <v>493</v>
      </c>
      <c r="E249" s="68" t="s">
        <v>51</v>
      </c>
      <c r="F249" s="59" t="s">
        <v>164</v>
      </c>
      <c r="G249" s="62"/>
      <c r="H249" s="62"/>
      <c r="I249" s="58"/>
      <c r="J249" s="58"/>
      <c r="K249" s="58"/>
      <c r="L249" s="58"/>
      <c r="M249" s="58"/>
      <c r="N249" s="8"/>
    </row>
    <row r="250" ht="15.75" customHeight="1">
      <c r="A250" s="75" t="s">
        <v>370</v>
      </c>
      <c r="B250" s="60">
        <v>45791.0</v>
      </c>
      <c r="C250" s="63" t="s">
        <v>371</v>
      </c>
      <c r="D250" s="63" t="s">
        <v>372</v>
      </c>
      <c r="E250" s="68"/>
      <c r="F250" s="58"/>
      <c r="G250" s="62"/>
      <c r="H250" s="62"/>
      <c r="I250" s="58"/>
      <c r="J250" s="58"/>
      <c r="K250" s="58"/>
      <c r="L250" s="58"/>
      <c r="M250" s="58"/>
      <c r="N250" s="8"/>
    </row>
    <row r="251" ht="15.75" customHeight="1">
      <c r="A251" s="69" t="s">
        <v>494</v>
      </c>
      <c r="B251" s="60">
        <v>45792.958333333336</v>
      </c>
      <c r="C251" s="58" t="s">
        <v>252</v>
      </c>
      <c r="D251" s="58" t="s">
        <v>495</v>
      </c>
      <c r="E251" s="68" t="s">
        <v>51</v>
      </c>
      <c r="F251" s="58" t="s">
        <v>160</v>
      </c>
      <c r="G251" s="62"/>
      <c r="H251" s="62"/>
      <c r="I251" s="58"/>
      <c r="J251" s="58"/>
      <c r="K251" s="58"/>
      <c r="L251" s="58"/>
      <c r="M251" s="58"/>
      <c r="N251" s="8"/>
    </row>
    <row r="252" ht="15.75" customHeight="1">
      <c r="A252" s="69" t="s">
        <v>496</v>
      </c>
      <c r="B252" s="60">
        <v>45793.708333333336</v>
      </c>
      <c r="C252" s="58" t="s">
        <v>252</v>
      </c>
      <c r="D252" s="58" t="s">
        <v>497</v>
      </c>
      <c r="E252" s="68" t="s">
        <v>51</v>
      </c>
      <c r="F252" s="58" t="s">
        <v>487</v>
      </c>
      <c r="G252" s="62"/>
      <c r="H252" s="62"/>
      <c r="I252" s="58"/>
      <c r="J252" s="58"/>
      <c r="K252" s="58"/>
      <c r="L252" s="58"/>
      <c r="M252" s="58"/>
      <c r="N252" s="8"/>
    </row>
    <row r="253" ht="15.75" customHeight="1">
      <c r="A253" s="69" t="s">
        <v>498</v>
      </c>
      <c r="B253" s="58" t="s">
        <v>499</v>
      </c>
      <c r="C253" s="58" t="s">
        <v>252</v>
      </c>
      <c r="D253" s="58" t="s">
        <v>500</v>
      </c>
      <c r="E253" s="68" t="s">
        <v>51</v>
      </c>
      <c r="F253" s="58" t="s">
        <v>487</v>
      </c>
      <c r="G253" s="62"/>
      <c r="H253" s="62"/>
      <c r="I253" s="58"/>
      <c r="J253" s="58"/>
      <c r="K253" s="58"/>
      <c r="L253" s="58"/>
      <c r="M253" s="58"/>
      <c r="N253" s="8"/>
    </row>
    <row r="254" ht="15.75" customHeight="1">
      <c r="A254" s="64" t="s">
        <v>501</v>
      </c>
      <c r="B254" s="60">
        <v>45799.708333333336</v>
      </c>
      <c r="C254" s="58" t="s">
        <v>252</v>
      </c>
      <c r="D254" s="58" t="s">
        <v>502</v>
      </c>
      <c r="E254" s="68" t="s">
        <v>51</v>
      </c>
      <c r="F254" s="59" t="s">
        <v>503</v>
      </c>
      <c r="G254" s="62"/>
      <c r="H254" s="62"/>
      <c r="I254" s="58"/>
      <c r="J254" s="58"/>
      <c r="K254" s="58"/>
      <c r="L254" s="58"/>
      <c r="M254" s="58"/>
      <c r="N254" s="8"/>
    </row>
    <row r="255" ht="15.75" customHeight="1">
      <c r="A255" s="69" t="s">
        <v>504</v>
      </c>
      <c r="B255" s="60">
        <v>45800.958333333336</v>
      </c>
      <c r="C255" s="58" t="s">
        <v>252</v>
      </c>
      <c r="D255" s="58" t="s">
        <v>505</v>
      </c>
      <c r="E255" s="68" t="s">
        <v>51</v>
      </c>
      <c r="F255" s="59" t="s">
        <v>506</v>
      </c>
      <c r="G255" s="62"/>
      <c r="H255" s="62"/>
      <c r="I255" s="58"/>
      <c r="J255" s="58"/>
      <c r="K255" s="58"/>
      <c r="L255" s="58"/>
      <c r="M255" s="58"/>
      <c r="N255" s="8"/>
    </row>
    <row r="256" ht="15.75" customHeight="1">
      <c r="A256" s="64" t="s">
        <v>85</v>
      </c>
      <c r="B256" s="60">
        <v>45800.0</v>
      </c>
      <c r="C256" s="58" t="s">
        <v>189</v>
      </c>
      <c r="D256" s="58" t="s">
        <v>507</v>
      </c>
      <c r="E256" s="68" t="s">
        <v>51</v>
      </c>
      <c r="F256" s="59" t="s">
        <v>160</v>
      </c>
      <c r="G256" s="62"/>
      <c r="H256" s="62"/>
      <c r="I256" s="58"/>
      <c r="J256" s="58"/>
      <c r="K256" s="58"/>
      <c r="L256" s="58"/>
      <c r="M256" s="58"/>
      <c r="N256" s="8"/>
    </row>
    <row r="257" ht="15.75" customHeight="1">
      <c r="A257" s="69" t="s">
        <v>508</v>
      </c>
      <c r="B257" s="60">
        <v>45805.75</v>
      </c>
      <c r="C257" s="58" t="s">
        <v>252</v>
      </c>
      <c r="D257" s="58" t="s">
        <v>509</v>
      </c>
      <c r="E257" s="68" t="s">
        <v>51</v>
      </c>
      <c r="F257" s="59" t="s">
        <v>510</v>
      </c>
      <c r="G257" s="62"/>
      <c r="H257" s="62"/>
      <c r="I257" s="58"/>
      <c r="J257" s="58"/>
      <c r="K257" s="58"/>
      <c r="L257" s="58"/>
      <c r="M257" s="58"/>
      <c r="N257" s="8"/>
    </row>
    <row r="258" ht="15.75" customHeight="1">
      <c r="A258" s="69" t="s">
        <v>511</v>
      </c>
      <c r="B258" s="60">
        <v>45806.916666666664</v>
      </c>
      <c r="C258" s="58" t="s">
        <v>252</v>
      </c>
      <c r="D258" s="58" t="s">
        <v>497</v>
      </c>
      <c r="E258" s="68" t="s">
        <v>51</v>
      </c>
      <c r="F258" s="59" t="s">
        <v>487</v>
      </c>
      <c r="G258" s="62"/>
      <c r="H258" s="62"/>
      <c r="I258" s="58"/>
      <c r="J258" s="58"/>
      <c r="K258" s="58"/>
      <c r="L258" s="58"/>
      <c r="M258" s="58"/>
      <c r="N258" s="8"/>
    </row>
    <row r="259" ht="15.75" customHeight="1">
      <c r="A259" s="69" t="s">
        <v>512</v>
      </c>
      <c r="B259" s="60">
        <v>45786.958333333336</v>
      </c>
      <c r="C259" s="58" t="s">
        <v>175</v>
      </c>
      <c r="D259" s="58" t="s">
        <v>513</v>
      </c>
      <c r="E259" s="68" t="s">
        <v>51</v>
      </c>
      <c r="F259" s="59" t="s">
        <v>514</v>
      </c>
      <c r="G259" s="62"/>
      <c r="H259" s="62"/>
      <c r="I259" s="58"/>
      <c r="J259" s="58"/>
      <c r="K259" s="58"/>
      <c r="L259" s="58"/>
      <c r="M259" s="58"/>
      <c r="N259" s="8"/>
    </row>
    <row r="260" ht="15.75" customHeight="1">
      <c r="A260" s="69" t="s">
        <v>515</v>
      </c>
      <c r="B260" s="60">
        <v>45792.75</v>
      </c>
      <c r="C260" s="58" t="s">
        <v>175</v>
      </c>
      <c r="D260" s="58" t="s">
        <v>516</v>
      </c>
      <c r="E260" s="68" t="s">
        <v>51</v>
      </c>
      <c r="F260" s="59" t="s">
        <v>517</v>
      </c>
      <c r="G260" s="62"/>
      <c r="H260" s="62"/>
      <c r="I260" s="58"/>
      <c r="J260" s="58"/>
      <c r="K260" s="58"/>
      <c r="L260" s="58"/>
      <c r="M260" s="58"/>
      <c r="N260" s="8"/>
    </row>
    <row r="261" ht="15.75" customHeight="1">
      <c r="A261" s="64" t="s">
        <v>518</v>
      </c>
      <c r="B261" s="58" t="s">
        <v>519</v>
      </c>
      <c r="C261" s="58" t="s">
        <v>175</v>
      </c>
      <c r="D261" s="58" t="s">
        <v>493</v>
      </c>
      <c r="E261" s="68" t="s">
        <v>51</v>
      </c>
      <c r="F261" s="59" t="s">
        <v>520</v>
      </c>
      <c r="G261" s="62"/>
      <c r="H261" s="62"/>
      <c r="I261" s="58"/>
      <c r="J261" s="58"/>
      <c r="K261" s="58"/>
      <c r="L261" s="58"/>
      <c r="M261" s="58"/>
      <c r="N261" s="8"/>
    </row>
    <row r="262" ht="15.75" customHeight="1">
      <c r="A262" s="69" t="s">
        <v>521</v>
      </c>
      <c r="B262" s="60">
        <v>45797.75</v>
      </c>
      <c r="C262" s="58" t="s">
        <v>175</v>
      </c>
      <c r="D262" s="58" t="s">
        <v>522</v>
      </c>
      <c r="E262" s="68" t="s">
        <v>51</v>
      </c>
      <c r="F262" s="59" t="s">
        <v>523</v>
      </c>
      <c r="G262" s="62"/>
      <c r="H262" s="62"/>
      <c r="I262" s="58"/>
      <c r="J262" s="58"/>
      <c r="K262" s="58"/>
      <c r="L262" s="58"/>
      <c r="M262" s="58"/>
      <c r="N262" s="8"/>
    </row>
    <row r="263" ht="15.75" customHeight="1">
      <c r="A263" s="69" t="s">
        <v>524</v>
      </c>
      <c r="B263" s="60">
        <v>45799.541666666664</v>
      </c>
      <c r="C263" s="58" t="s">
        <v>175</v>
      </c>
      <c r="D263" s="58" t="s">
        <v>525</v>
      </c>
      <c r="E263" s="68" t="s">
        <v>51</v>
      </c>
      <c r="F263" s="59" t="s">
        <v>523</v>
      </c>
      <c r="G263" s="62"/>
      <c r="H263" s="62"/>
      <c r="I263" s="58"/>
      <c r="J263" s="58"/>
      <c r="K263" s="58"/>
      <c r="L263" s="58"/>
      <c r="M263" s="58"/>
      <c r="N263" s="8"/>
    </row>
    <row r="264" ht="15.75" customHeight="1">
      <c r="A264" s="69" t="s">
        <v>526</v>
      </c>
      <c r="B264" s="60">
        <v>45800.75</v>
      </c>
      <c r="C264" s="58" t="s">
        <v>175</v>
      </c>
      <c r="D264" s="58" t="s">
        <v>527</v>
      </c>
      <c r="E264" s="68" t="s">
        <v>51</v>
      </c>
      <c r="F264" s="59" t="s">
        <v>528</v>
      </c>
      <c r="G264" s="62"/>
      <c r="H264" s="62"/>
      <c r="I264" s="58"/>
      <c r="J264" s="58"/>
      <c r="K264" s="58"/>
      <c r="L264" s="58"/>
      <c r="M264" s="58"/>
      <c r="N264" s="8"/>
    </row>
    <row r="265" ht="15.75" customHeight="1">
      <c r="A265" s="69" t="s">
        <v>529</v>
      </c>
      <c r="B265" s="60">
        <v>45801.833333333336</v>
      </c>
      <c r="C265" s="58" t="s">
        <v>175</v>
      </c>
      <c r="D265" s="58" t="s">
        <v>530</v>
      </c>
      <c r="E265" s="68" t="s">
        <v>98</v>
      </c>
      <c r="F265" s="59" t="s">
        <v>531</v>
      </c>
      <c r="G265" s="62"/>
      <c r="H265" s="62"/>
      <c r="I265" s="58"/>
      <c r="J265" s="58"/>
      <c r="K265" s="58"/>
      <c r="L265" s="58"/>
      <c r="M265" s="58"/>
      <c r="N265" s="8"/>
    </row>
    <row r="266" ht="15.75" customHeight="1">
      <c r="A266" s="69" t="s">
        <v>532</v>
      </c>
      <c r="B266" s="60">
        <v>45779.75</v>
      </c>
      <c r="C266" s="58" t="s">
        <v>180</v>
      </c>
      <c r="D266" s="58" t="s">
        <v>533</v>
      </c>
      <c r="E266" s="68" t="s">
        <v>51</v>
      </c>
      <c r="F266" s="59" t="s">
        <v>438</v>
      </c>
      <c r="G266" s="62"/>
      <c r="H266" s="62"/>
      <c r="I266" s="58"/>
      <c r="J266" s="58"/>
      <c r="K266" s="58"/>
      <c r="L266" s="58"/>
      <c r="M266" s="58"/>
      <c r="N266" s="8"/>
    </row>
    <row r="267" ht="15.75" customHeight="1">
      <c r="A267" s="69" t="s">
        <v>534</v>
      </c>
      <c r="B267" s="58" t="s">
        <v>535</v>
      </c>
      <c r="C267" s="58" t="s">
        <v>180</v>
      </c>
      <c r="D267" s="58" t="s">
        <v>536</v>
      </c>
      <c r="E267" s="68" t="s">
        <v>51</v>
      </c>
      <c r="F267" s="59" t="s">
        <v>537</v>
      </c>
      <c r="G267" s="62"/>
      <c r="H267" s="62"/>
      <c r="I267" s="58"/>
      <c r="J267" s="58"/>
      <c r="K267" s="58"/>
      <c r="L267" s="58"/>
      <c r="M267" s="58"/>
      <c r="N267" s="8"/>
    </row>
    <row r="268" ht="15.75" customHeight="1">
      <c r="A268" s="69" t="s">
        <v>424</v>
      </c>
      <c r="B268" s="60">
        <v>45784.916666666664</v>
      </c>
      <c r="C268" s="58" t="s">
        <v>180</v>
      </c>
      <c r="D268" s="58" t="s">
        <v>538</v>
      </c>
      <c r="E268" s="68" t="s">
        <v>51</v>
      </c>
      <c r="F268" s="59" t="s">
        <v>164</v>
      </c>
      <c r="G268" s="62"/>
      <c r="H268" s="62"/>
      <c r="I268" s="58"/>
      <c r="J268" s="58"/>
      <c r="K268" s="58"/>
      <c r="L268" s="58"/>
      <c r="M268" s="58"/>
      <c r="N268" s="8"/>
    </row>
    <row r="269" ht="15.75" customHeight="1">
      <c r="A269" s="69" t="s">
        <v>539</v>
      </c>
      <c r="B269" s="58" t="s">
        <v>540</v>
      </c>
      <c r="C269" s="58" t="s">
        <v>180</v>
      </c>
      <c r="D269" s="58" t="s">
        <v>541</v>
      </c>
      <c r="E269" s="68" t="s">
        <v>51</v>
      </c>
      <c r="F269" s="59" t="s">
        <v>164</v>
      </c>
      <c r="G269" s="62"/>
      <c r="H269" s="62"/>
      <c r="I269" s="58"/>
      <c r="J269" s="58"/>
      <c r="K269" s="58"/>
      <c r="L269" s="58"/>
      <c r="M269" s="58"/>
      <c r="N269" s="8"/>
    </row>
    <row r="270" ht="15.75" customHeight="1">
      <c r="A270" s="69" t="s">
        <v>542</v>
      </c>
      <c r="B270" s="60">
        <v>45786.958333333336</v>
      </c>
      <c r="C270" s="58" t="s">
        <v>180</v>
      </c>
      <c r="D270" s="58" t="s">
        <v>533</v>
      </c>
      <c r="E270" s="68" t="s">
        <v>51</v>
      </c>
      <c r="F270" s="59" t="s">
        <v>543</v>
      </c>
      <c r="G270" s="62"/>
      <c r="H270" s="62"/>
      <c r="I270" s="58"/>
      <c r="J270" s="58"/>
      <c r="K270" s="58"/>
      <c r="L270" s="58"/>
      <c r="M270" s="58"/>
      <c r="N270" s="8"/>
    </row>
    <row r="271" ht="15.75" customHeight="1">
      <c r="A271" s="69" t="s">
        <v>544</v>
      </c>
      <c r="B271" s="60">
        <v>45791.791666666664</v>
      </c>
      <c r="C271" s="58" t="s">
        <v>180</v>
      </c>
      <c r="D271" s="58" t="s">
        <v>545</v>
      </c>
      <c r="E271" s="68" t="s">
        <v>51</v>
      </c>
      <c r="F271" s="59" t="s">
        <v>160</v>
      </c>
      <c r="G271" s="62"/>
      <c r="H271" s="62"/>
      <c r="I271" s="58"/>
      <c r="J271" s="58"/>
      <c r="K271" s="58"/>
      <c r="L271" s="58"/>
      <c r="M271" s="58"/>
      <c r="N271" s="8"/>
    </row>
    <row r="272" ht="15.75" customHeight="1">
      <c r="A272" s="69" t="s">
        <v>542</v>
      </c>
      <c r="B272" s="60">
        <v>45792.75</v>
      </c>
      <c r="C272" s="58" t="s">
        <v>180</v>
      </c>
      <c r="D272" s="58" t="s">
        <v>533</v>
      </c>
      <c r="E272" s="68" t="s">
        <v>51</v>
      </c>
      <c r="F272" s="59" t="s">
        <v>543</v>
      </c>
      <c r="G272" s="62"/>
      <c r="H272" s="62"/>
      <c r="I272" s="58"/>
      <c r="J272" s="58"/>
      <c r="K272" s="58"/>
      <c r="L272" s="58"/>
      <c r="M272" s="58"/>
      <c r="N272" s="8"/>
    </row>
    <row r="273" ht="15.75" customHeight="1">
      <c r="A273" s="69" t="s">
        <v>546</v>
      </c>
      <c r="B273" s="60">
        <v>45797.75</v>
      </c>
      <c r="C273" s="58" t="s">
        <v>180</v>
      </c>
      <c r="D273" s="58" t="s">
        <v>547</v>
      </c>
      <c r="E273" s="68" t="s">
        <v>51</v>
      </c>
      <c r="F273" s="59" t="s">
        <v>548</v>
      </c>
      <c r="G273" s="62"/>
      <c r="H273" s="62"/>
      <c r="I273" s="58"/>
      <c r="J273" s="58"/>
      <c r="K273" s="58"/>
      <c r="L273" s="58"/>
      <c r="M273" s="58"/>
      <c r="N273" s="8"/>
    </row>
    <row r="274" ht="15.75" customHeight="1">
      <c r="A274" s="69" t="s">
        <v>549</v>
      </c>
      <c r="B274" s="60">
        <v>45804.75</v>
      </c>
      <c r="C274" s="58" t="s">
        <v>180</v>
      </c>
      <c r="D274" s="58" t="s">
        <v>550</v>
      </c>
      <c r="E274" s="68" t="s">
        <v>51</v>
      </c>
      <c r="F274" s="59" t="s">
        <v>543</v>
      </c>
      <c r="G274" s="62"/>
      <c r="H274" s="62"/>
      <c r="I274" s="58"/>
      <c r="J274" s="58"/>
      <c r="K274" s="58"/>
      <c r="L274" s="58"/>
      <c r="M274" s="58"/>
      <c r="N274" s="8"/>
    </row>
    <row r="275" ht="15.75" customHeight="1">
      <c r="A275" s="69" t="s">
        <v>196</v>
      </c>
      <c r="B275" s="60">
        <v>45804.958333333336</v>
      </c>
      <c r="C275" s="58" t="s">
        <v>180</v>
      </c>
      <c r="D275" s="58" t="s">
        <v>551</v>
      </c>
      <c r="E275" s="68" t="s">
        <v>51</v>
      </c>
      <c r="F275" s="59" t="s">
        <v>552</v>
      </c>
      <c r="G275" s="62"/>
      <c r="H275" s="62"/>
      <c r="I275" s="58"/>
      <c r="J275" s="58"/>
      <c r="K275" s="58"/>
      <c r="L275" s="58"/>
      <c r="M275" s="58"/>
      <c r="N275" s="8"/>
    </row>
    <row r="276" ht="15.75" customHeight="1">
      <c r="A276" s="69" t="s">
        <v>553</v>
      </c>
      <c r="B276" s="60">
        <v>45805.958333333336</v>
      </c>
      <c r="C276" s="58" t="s">
        <v>180</v>
      </c>
      <c r="D276" s="58" t="s">
        <v>554</v>
      </c>
      <c r="E276" s="68" t="s">
        <v>51</v>
      </c>
      <c r="F276" s="59" t="s">
        <v>555</v>
      </c>
      <c r="G276" s="62"/>
      <c r="H276" s="62"/>
      <c r="I276" s="58"/>
      <c r="J276" s="58"/>
      <c r="K276" s="58"/>
      <c r="L276" s="58"/>
      <c r="M276" s="58"/>
      <c r="N276" s="8"/>
    </row>
    <row r="277" ht="15.75" customHeight="1">
      <c r="A277" s="64" t="s">
        <v>85</v>
      </c>
      <c r="B277" s="60">
        <v>45807.0</v>
      </c>
      <c r="C277" s="58" t="s">
        <v>189</v>
      </c>
      <c r="D277" s="58" t="s">
        <v>556</v>
      </c>
      <c r="E277" s="68" t="s">
        <v>51</v>
      </c>
      <c r="F277" s="59" t="s">
        <v>160</v>
      </c>
      <c r="G277" s="62"/>
      <c r="H277" s="62"/>
      <c r="I277" s="58"/>
      <c r="J277" s="58"/>
      <c r="K277" s="58"/>
      <c r="L277" s="58"/>
      <c r="M277" s="58"/>
      <c r="N277" s="8"/>
    </row>
    <row r="278" ht="15.75" customHeight="1">
      <c r="A278" s="69" t="s">
        <v>557</v>
      </c>
      <c r="B278" s="60">
        <v>45808.958333333336</v>
      </c>
      <c r="C278" s="58" t="s">
        <v>180</v>
      </c>
      <c r="D278" s="58" t="s">
        <v>558</v>
      </c>
      <c r="E278" s="68" t="s">
        <v>51</v>
      </c>
      <c r="F278" s="59" t="s">
        <v>369</v>
      </c>
      <c r="G278" s="62"/>
      <c r="H278" s="62"/>
      <c r="I278" s="58"/>
      <c r="J278" s="58"/>
      <c r="K278" s="58"/>
      <c r="L278" s="58"/>
      <c r="M278" s="58"/>
      <c r="N278" s="8"/>
    </row>
    <row r="279" ht="15.75" customHeight="1">
      <c r="A279" s="70" t="s">
        <v>559</v>
      </c>
      <c r="B279" s="76">
        <v>45784.0</v>
      </c>
      <c r="C279" s="71" t="s">
        <v>196</v>
      </c>
      <c r="D279" s="71" t="s">
        <v>560</v>
      </c>
      <c r="E279" s="72" t="s">
        <v>51</v>
      </c>
      <c r="F279" s="71" t="s">
        <v>561</v>
      </c>
      <c r="G279" s="62"/>
      <c r="H279" s="62"/>
      <c r="I279" s="58"/>
      <c r="J279" s="58"/>
      <c r="K279" s="58"/>
      <c r="L279" s="58"/>
      <c r="M279" s="58"/>
      <c r="N279" s="8"/>
    </row>
    <row r="280" ht="15.75" customHeight="1">
      <c r="A280" s="70" t="s">
        <v>562</v>
      </c>
      <c r="B280" s="76">
        <v>45798.0</v>
      </c>
      <c r="C280" s="71" t="s">
        <v>196</v>
      </c>
      <c r="D280" s="71" t="s">
        <v>563</v>
      </c>
      <c r="E280" s="72" t="s">
        <v>51</v>
      </c>
      <c r="F280" s="71" t="s">
        <v>160</v>
      </c>
      <c r="G280" s="62"/>
      <c r="H280" s="62"/>
      <c r="I280" s="58"/>
      <c r="J280" s="58"/>
      <c r="K280" s="58"/>
      <c r="L280" s="58"/>
      <c r="M280" s="58"/>
      <c r="N280" s="8"/>
    </row>
    <row r="281" ht="15.75" customHeight="1">
      <c r="A281" s="70" t="s">
        <v>564</v>
      </c>
      <c r="B281" s="76">
        <v>45804.0</v>
      </c>
      <c r="C281" s="71" t="s">
        <v>196</v>
      </c>
      <c r="D281" s="71" t="s">
        <v>565</v>
      </c>
      <c r="E281" s="72" t="s">
        <v>51</v>
      </c>
      <c r="F281" s="71" t="s">
        <v>160</v>
      </c>
      <c r="G281" s="62"/>
      <c r="H281" s="62"/>
      <c r="I281" s="58"/>
      <c r="J281" s="58"/>
      <c r="K281" s="58"/>
      <c r="L281" s="58"/>
      <c r="M281" s="58"/>
      <c r="N281" s="8"/>
    </row>
    <row r="282" ht="15.75" customHeight="1">
      <c r="A282" s="70" t="s">
        <v>566</v>
      </c>
      <c r="B282" s="76" t="s">
        <v>567</v>
      </c>
      <c r="C282" s="71" t="s">
        <v>196</v>
      </c>
      <c r="D282" s="71" t="s">
        <v>568</v>
      </c>
      <c r="E282" s="77" t="s">
        <v>98</v>
      </c>
      <c r="F282" s="71" t="s">
        <v>569</v>
      </c>
      <c r="G282" s="62"/>
      <c r="H282" s="62"/>
      <c r="I282" s="58"/>
      <c r="J282" s="58"/>
      <c r="K282" s="58"/>
      <c r="L282" s="58"/>
      <c r="M282" s="58"/>
      <c r="N282" s="8"/>
    </row>
    <row r="283" ht="15.75" customHeight="1">
      <c r="A283" s="70" t="s">
        <v>570</v>
      </c>
      <c r="B283" s="76" t="s">
        <v>571</v>
      </c>
      <c r="C283" s="71" t="s">
        <v>196</v>
      </c>
      <c r="D283" s="71" t="s">
        <v>572</v>
      </c>
      <c r="E283" s="77" t="s">
        <v>51</v>
      </c>
      <c r="F283" s="71" t="s">
        <v>573</v>
      </c>
      <c r="G283" s="62"/>
      <c r="H283" s="62"/>
      <c r="I283" s="58"/>
      <c r="J283" s="58"/>
      <c r="K283" s="58"/>
      <c r="L283" s="58"/>
      <c r="M283" s="58"/>
      <c r="N283" s="8"/>
    </row>
    <row r="284" ht="15.75" customHeight="1">
      <c r="A284" s="69" t="s">
        <v>574</v>
      </c>
      <c r="B284" s="60">
        <v>45820.75</v>
      </c>
      <c r="C284" s="58" t="s">
        <v>142</v>
      </c>
      <c r="D284" s="58" t="s">
        <v>575</v>
      </c>
      <c r="E284" s="68" t="s">
        <v>51</v>
      </c>
      <c r="F284" s="58" t="s">
        <v>160</v>
      </c>
      <c r="G284" s="62"/>
      <c r="H284" s="62"/>
      <c r="I284" s="58"/>
      <c r="J284" s="58"/>
      <c r="K284" s="58"/>
      <c r="L284" s="58"/>
      <c r="M284" s="58"/>
      <c r="N284" s="8"/>
    </row>
    <row r="285" ht="15.75" customHeight="1">
      <c r="A285" s="69" t="s">
        <v>576</v>
      </c>
      <c r="B285" s="60">
        <v>45825.666666666664</v>
      </c>
      <c r="C285" s="58" t="s">
        <v>142</v>
      </c>
      <c r="D285" s="58" t="s">
        <v>577</v>
      </c>
      <c r="E285" s="68" t="s">
        <v>51</v>
      </c>
      <c r="F285" s="58" t="s">
        <v>578</v>
      </c>
      <c r="G285" s="62"/>
      <c r="H285" s="62"/>
      <c r="I285" s="58"/>
      <c r="J285" s="58"/>
      <c r="K285" s="58"/>
      <c r="L285" s="58"/>
      <c r="M285" s="58"/>
      <c r="N285" s="8"/>
    </row>
    <row r="286" ht="15.75" customHeight="1">
      <c r="A286" s="69" t="s">
        <v>524</v>
      </c>
      <c r="B286" s="60">
        <v>45834.541666666664</v>
      </c>
      <c r="C286" s="58" t="s">
        <v>142</v>
      </c>
      <c r="D286" s="58" t="s">
        <v>579</v>
      </c>
      <c r="E286" s="68" t="s">
        <v>51</v>
      </c>
      <c r="F286" s="59" t="s">
        <v>164</v>
      </c>
      <c r="G286" s="62"/>
      <c r="H286" s="62"/>
      <c r="I286" s="58"/>
      <c r="J286" s="58"/>
      <c r="K286" s="58"/>
      <c r="L286" s="58"/>
      <c r="M286" s="58"/>
      <c r="N286" s="8"/>
    </row>
    <row r="287" ht="15.75" customHeight="1">
      <c r="A287" s="69" t="s">
        <v>529</v>
      </c>
      <c r="B287" s="60">
        <v>45836.833333333336</v>
      </c>
      <c r="C287" s="58" t="s">
        <v>142</v>
      </c>
      <c r="D287" s="58" t="s">
        <v>580</v>
      </c>
      <c r="E287" s="68" t="s">
        <v>51</v>
      </c>
      <c r="F287" s="59" t="s">
        <v>581</v>
      </c>
      <c r="G287" s="62"/>
      <c r="H287" s="62"/>
      <c r="I287" s="58"/>
      <c r="J287" s="58"/>
      <c r="K287" s="58"/>
      <c r="L287" s="58"/>
      <c r="M287" s="58"/>
      <c r="N287" s="8"/>
    </row>
    <row r="288" ht="15.75" customHeight="1">
      <c r="A288" s="69" t="s">
        <v>582</v>
      </c>
      <c r="B288" s="60">
        <v>45815.958333333336</v>
      </c>
      <c r="C288" s="58" t="s">
        <v>252</v>
      </c>
      <c r="D288" s="58" t="s">
        <v>583</v>
      </c>
      <c r="E288" s="68" t="s">
        <v>51</v>
      </c>
      <c r="F288" s="58" t="s">
        <v>584</v>
      </c>
      <c r="G288" s="62"/>
      <c r="H288" s="62"/>
      <c r="I288" s="58"/>
      <c r="J288" s="58"/>
      <c r="K288" s="58"/>
      <c r="L288" s="58"/>
      <c r="M288" s="58"/>
      <c r="N288" s="8"/>
    </row>
    <row r="289" ht="15.75" customHeight="1">
      <c r="A289" s="69" t="s">
        <v>585</v>
      </c>
      <c r="B289" s="60">
        <v>45815.75</v>
      </c>
      <c r="C289" s="58" t="s">
        <v>252</v>
      </c>
      <c r="D289" s="58" t="s">
        <v>586</v>
      </c>
      <c r="E289" s="68" t="s">
        <v>51</v>
      </c>
      <c r="F289" s="58" t="s">
        <v>584</v>
      </c>
      <c r="G289" s="62"/>
      <c r="H289" s="62"/>
      <c r="I289" s="58"/>
      <c r="J289" s="58"/>
      <c r="K289" s="58"/>
      <c r="L289" s="58"/>
      <c r="M289" s="58"/>
      <c r="N289" s="8"/>
    </row>
    <row r="290" ht="15.75" customHeight="1">
      <c r="A290" s="69" t="s">
        <v>587</v>
      </c>
      <c r="B290" s="60">
        <v>45815.75</v>
      </c>
      <c r="C290" s="58" t="s">
        <v>252</v>
      </c>
      <c r="D290" s="58" t="s">
        <v>588</v>
      </c>
      <c r="E290" s="68" t="s">
        <v>51</v>
      </c>
      <c r="F290" s="58" t="s">
        <v>584</v>
      </c>
      <c r="G290" s="62"/>
      <c r="H290" s="62"/>
      <c r="I290" s="58"/>
      <c r="J290" s="58"/>
      <c r="K290" s="58"/>
      <c r="L290" s="58"/>
      <c r="M290" s="58"/>
      <c r="N290" s="8"/>
    </row>
    <row r="291" ht="15.75" customHeight="1">
      <c r="A291" s="69" t="s">
        <v>424</v>
      </c>
      <c r="B291" s="60">
        <v>45819.875</v>
      </c>
      <c r="C291" s="58" t="s">
        <v>252</v>
      </c>
      <c r="D291" s="58" t="s">
        <v>589</v>
      </c>
      <c r="E291" s="68" t="s">
        <v>51</v>
      </c>
      <c r="F291" s="59" t="s">
        <v>477</v>
      </c>
      <c r="G291" s="62"/>
      <c r="H291" s="62"/>
      <c r="I291" s="58"/>
      <c r="J291" s="58"/>
      <c r="K291" s="58"/>
      <c r="L291" s="58"/>
      <c r="M291" s="58"/>
      <c r="N291" s="8"/>
    </row>
    <row r="292" ht="15.75" customHeight="1">
      <c r="A292" s="69" t="s">
        <v>590</v>
      </c>
      <c r="B292" s="60">
        <v>45821.75</v>
      </c>
      <c r="C292" s="58" t="s">
        <v>252</v>
      </c>
      <c r="D292" s="58" t="s">
        <v>588</v>
      </c>
      <c r="E292" s="68" t="s">
        <v>51</v>
      </c>
      <c r="F292" s="59" t="s">
        <v>105</v>
      </c>
      <c r="G292" s="62"/>
      <c r="H292" s="62"/>
      <c r="I292" s="58"/>
      <c r="J292" s="58"/>
      <c r="K292" s="58"/>
      <c r="L292" s="58"/>
      <c r="M292" s="58"/>
      <c r="N292" s="8"/>
    </row>
    <row r="293" ht="15.75" customHeight="1">
      <c r="A293" s="64" t="s">
        <v>532</v>
      </c>
      <c r="B293" s="60">
        <v>45821.958333333336</v>
      </c>
      <c r="C293" s="58" t="s">
        <v>252</v>
      </c>
      <c r="D293" s="58" t="s">
        <v>591</v>
      </c>
      <c r="E293" s="68" t="s">
        <v>51</v>
      </c>
      <c r="F293" s="58" t="s">
        <v>438</v>
      </c>
      <c r="G293" s="62"/>
      <c r="H293" s="62"/>
      <c r="I293" s="58"/>
      <c r="J293" s="58"/>
      <c r="K293" s="58"/>
      <c r="L293" s="58"/>
      <c r="M293" s="58"/>
      <c r="N293" s="8"/>
    </row>
    <row r="294" ht="15.75" customHeight="1">
      <c r="A294" s="64" t="s">
        <v>85</v>
      </c>
      <c r="B294" s="60">
        <v>45821.958333333336</v>
      </c>
      <c r="C294" s="58" t="s">
        <v>189</v>
      </c>
      <c r="D294" s="59" t="s">
        <v>592</v>
      </c>
      <c r="E294" s="68" t="s">
        <v>51</v>
      </c>
      <c r="F294" s="59" t="s">
        <v>160</v>
      </c>
      <c r="G294" s="62"/>
      <c r="H294" s="62"/>
      <c r="I294" s="58"/>
      <c r="J294" s="58"/>
      <c r="K294" s="58"/>
      <c r="L294" s="58"/>
      <c r="M294" s="58"/>
      <c r="N294" s="8"/>
    </row>
    <row r="295" ht="15.75" customHeight="1">
      <c r="A295" s="69" t="s">
        <v>593</v>
      </c>
      <c r="B295" s="60">
        <v>45830.541666666664</v>
      </c>
      <c r="C295" s="58" t="s">
        <v>252</v>
      </c>
      <c r="D295" s="59" t="s">
        <v>594</v>
      </c>
      <c r="E295" s="68" t="s">
        <v>51</v>
      </c>
      <c r="F295" s="59" t="s">
        <v>160</v>
      </c>
      <c r="G295" s="62"/>
      <c r="H295" s="62"/>
      <c r="I295" s="58"/>
      <c r="J295" s="58"/>
      <c r="K295" s="58"/>
      <c r="L295" s="58"/>
      <c r="M295" s="58"/>
      <c r="N295" s="8"/>
    </row>
    <row r="296" ht="15.75" customHeight="1">
      <c r="A296" s="69" t="s">
        <v>529</v>
      </c>
      <c r="B296" s="60">
        <v>45822.833333333336</v>
      </c>
      <c r="C296" s="58" t="s">
        <v>175</v>
      </c>
      <c r="D296" s="58" t="s">
        <v>595</v>
      </c>
      <c r="E296" s="68" t="s">
        <v>51</v>
      </c>
      <c r="F296" s="58" t="s">
        <v>581</v>
      </c>
      <c r="G296" s="62"/>
      <c r="H296" s="62"/>
      <c r="I296" s="58"/>
      <c r="J296" s="58"/>
      <c r="K296" s="58"/>
      <c r="L296" s="58"/>
      <c r="M296" s="58"/>
      <c r="N296" s="8"/>
    </row>
    <row r="297" ht="15.75" customHeight="1">
      <c r="A297" s="69" t="s">
        <v>78</v>
      </c>
      <c r="B297" s="60">
        <v>45826.958333333336</v>
      </c>
      <c r="C297" s="58" t="s">
        <v>175</v>
      </c>
      <c r="D297" s="58" t="s">
        <v>596</v>
      </c>
      <c r="E297" s="68" t="s">
        <v>51</v>
      </c>
      <c r="F297" s="59" t="s">
        <v>597</v>
      </c>
      <c r="G297" s="62"/>
      <c r="H297" s="62"/>
      <c r="I297" s="58"/>
      <c r="J297" s="58"/>
      <c r="K297" s="58"/>
      <c r="L297" s="58"/>
      <c r="M297" s="58"/>
      <c r="N297" s="8"/>
    </row>
    <row r="298" ht="15.75" customHeight="1">
      <c r="A298" s="69" t="s">
        <v>309</v>
      </c>
      <c r="B298" s="60">
        <v>45831.75</v>
      </c>
      <c r="C298" s="58" t="s">
        <v>175</v>
      </c>
      <c r="D298" s="58" t="s">
        <v>598</v>
      </c>
      <c r="E298" s="68" t="s">
        <v>51</v>
      </c>
      <c r="F298" s="59" t="s">
        <v>105</v>
      </c>
      <c r="G298" s="62"/>
      <c r="H298" s="62"/>
      <c r="I298" s="58"/>
      <c r="J298" s="58"/>
      <c r="K298" s="58"/>
      <c r="L298" s="58"/>
      <c r="M298" s="58"/>
      <c r="N298" s="8"/>
    </row>
    <row r="299" ht="15.75" customHeight="1">
      <c r="A299" s="69" t="s">
        <v>599</v>
      </c>
      <c r="B299" s="60">
        <v>45833.75</v>
      </c>
      <c r="C299" s="58" t="s">
        <v>175</v>
      </c>
      <c r="D299" s="58" t="s">
        <v>600</v>
      </c>
      <c r="E299" s="68" t="s">
        <v>51</v>
      </c>
      <c r="F299" s="59" t="s">
        <v>601</v>
      </c>
      <c r="G299" s="62"/>
      <c r="H299" s="62"/>
      <c r="I299" s="58"/>
      <c r="J299" s="58"/>
      <c r="K299" s="58"/>
      <c r="L299" s="58"/>
      <c r="M299" s="58"/>
      <c r="N299" s="8"/>
    </row>
    <row r="300" ht="15.75" customHeight="1">
      <c r="A300" s="64" t="s">
        <v>280</v>
      </c>
      <c r="B300" s="60">
        <v>45834.541666666664</v>
      </c>
      <c r="C300" s="58" t="s">
        <v>175</v>
      </c>
      <c r="D300" s="58" t="s">
        <v>602</v>
      </c>
      <c r="E300" s="68" t="s">
        <v>51</v>
      </c>
      <c r="F300" s="58" t="s">
        <v>603</v>
      </c>
      <c r="G300" s="62"/>
      <c r="H300" s="62"/>
      <c r="I300" s="58"/>
      <c r="J300" s="58"/>
      <c r="K300" s="58"/>
      <c r="L300" s="58"/>
      <c r="M300" s="58"/>
      <c r="N300" s="8"/>
    </row>
    <row r="301" ht="15.75" customHeight="1">
      <c r="A301" s="69" t="s">
        <v>604</v>
      </c>
      <c r="B301" s="58" t="s">
        <v>605</v>
      </c>
      <c r="C301" s="58" t="s">
        <v>180</v>
      </c>
      <c r="D301" s="58" t="s">
        <v>606</v>
      </c>
      <c r="E301" s="68" t="s">
        <v>51</v>
      </c>
      <c r="F301" s="59" t="s">
        <v>506</v>
      </c>
      <c r="G301" s="62"/>
      <c r="H301" s="62"/>
      <c r="I301" s="58"/>
      <c r="J301" s="58"/>
      <c r="K301" s="58"/>
      <c r="L301" s="58"/>
      <c r="M301" s="58"/>
      <c r="N301" s="8"/>
    </row>
    <row r="302" ht="15.75" customHeight="1">
      <c r="A302" s="69" t="s">
        <v>607</v>
      </c>
      <c r="B302" s="60">
        <v>45815.541666666664</v>
      </c>
      <c r="C302" s="58" t="s">
        <v>180</v>
      </c>
      <c r="D302" s="58" t="s">
        <v>608</v>
      </c>
      <c r="E302" s="68" t="s">
        <v>51</v>
      </c>
      <c r="F302" s="59" t="s">
        <v>477</v>
      </c>
      <c r="G302" s="62"/>
      <c r="H302" s="62"/>
      <c r="I302" s="58"/>
      <c r="J302" s="58"/>
      <c r="K302" s="58"/>
      <c r="L302" s="58"/>
      <c r="M302" s="58"/>
      <c r="N302" s="8"/>
    </row>
    <row r="303" ht="15.75" customHeight="1">
      <c r="A303" s="69" t="s">
        <v>609</v>
      </c>
      <c r="B303" s="60">
        <v>45819.583333333336</v>
      </c>
      <c r="C303" s="58" t="s">
        <v>180</v>
      </c>
      <c r="D303" s="58" t="s">
        <v>610</v>
      </c>
      <c r="E303" s="68" t="s">
        <v>51</v>
      </c>
      <c r="F303" s="59" t="s">
        <v>611</v>
      </c>
      <c r="G303" s="62"/>
      <c r="H303" s="62"/>
      <c r="I303" s="58"/>
      <c r="J303" s="58"/>
      <c r="K303" s="58"/>
      <c r="L303" s="58"/>
      <c r="M303" s="58"/>
      <c r="N303" s="8"/>
    </row>
    <row r="304" ht="15.75" customHeight="1">
      <c r="A304" s="69" t="s">
        <v>612</v>
      </c>
      <c r="B304" s="60">
        <v>45819.979166666664</v>
      </c>
      <c r="C304" s="58" t="s">
        <v>180</v>
      </c>
      <c r="D304" s="58" t="s">
        <v>613</v>
      </c>
      <c r="E304" s="68" t="s">
        <v>51</v>
      </c>
      <c r="F304" s="59" t="s">
        <v>160</v>
      </c>
      <c r="G304" s="62"/>
      <c r="H304" s="62"/>
      <c r="I304" s="58"/>
      <c r="J304" s="58"/>
      <c r="K304" s="58"/>
      <c r="L304" s="58"/>
      <c r="M304" s="58"/>
      <c r="N304" s="8"/>
    </row>
    <row r="305" ht="15.75" customHeight="1">
      <c r="A305" s="69" t="s">
        <v>614</v>
      </c>
      <c r="B305" s="60">
        <v>45820.791666666664</v>
      </c>
      <c r="C305" s="58" t="s">
        <v>180</v>
      </c>
      <c r="D305" s="58" t="s">
        <v>615</v>
      </c>
      <c r="E305" s="68" t="s">
        <v>51</v>
      </c>
      <c r="F305" s="59" t="s">
        <v>616</v>
      </c>
      <c r="G305" s="62"/>
      <c r="H305" s="62"/>
      <c r="I305" s="58"/>
      <c r="J305" s="58"/>
      <c r="K305" s="58"/>
      <c r="L305" s="58"/>
      <c r="M305" s="58"/>
      <c r="N305" s="8"/>
    </row>
    <row r="306" ht="15.75" customHeight="1">
      <c r="A306" s="69" t="s">
        <v>617</v>
      </c>
      <c r="B306" s="60">
        <v>45821.75</v>
      </c>
      <c r="C306" s="58" t="s">
        <v>180</v>
      </c>
      <c r="D306" s="58" t="s">
        <v>618</v>
      </c>
      <c r="E306" s="68" t="s">
        <v>51</v>
      </c>
      <c r="F306" s="59" t="s">
        <v>164</v>
      </c>
      <c r="G306" s="62"/>
      <c r="H306" s="62"/>
      <c r="I306" s="58"/>
      <c r="J306" s="58"/>
      <c r="K306" s="58"/>
      <c r="L306" s="58"/>
      <c r="M306" s="58"/>
      <c r="N306" s="8"/>
    </row>
    <row r="307" ht="15.75" customHeight="1">
      <c r="A307" s="69" t="s">
        <v>619</v>
      </c>
      <c r="B307" s="58" t="s">
        <v>620</v>
      </c>
      <c r="C307" s="58" t="s">
        <v>180</v>
      </c>
      <c r="D307" s="59" t="s">
        <v>621</v>
      </c>
      <c r="E307" s="68" t="s">
        <v>51</v>
      </c>
      <c r="F307" s="58" t="s">
        <v>622</v>
      </c>
      <c r="G307" s="62"/>
      <c r="H307" s="62"/>
      <c r="I307" s="58"/>
      <c r="J307" s="58"/>
      <c r="K307" s="58"/>
      <c r="L307" s="58"/>
      <c r="M307" s="58"/>
      <c r="N307" s="8"/>
    </row>
    <row r="308" ht="15.75" customHeight="1">
      <c r="A308" s="69" t="s">
        <v>623</v>
      </c>
      <c r="B308" s="60">
        <v>45831.958333333336</v>
      </c>
      <c r="C308" s="58" t="s">
        <v>180</v>
      </c>
      <c r="D308" s="58" t="s">
        <v>624</v>
      </c>
      <c r="E308" s="68" t="s">
        <v>51</v>
      </c>
      <c r="F308" s="58" t="s">
        <v>625</v>
      </c>
      <c r="G308" s="62"/>
      <c r="H308" s="62"/>
      <c r="I308" s="58"/>
      <c r="J308" s="58"/>
      <c r="K308" s="58"/>
      <c r="L308" s="58"/>
      <c r="M308" s="58"/>
      <c r="N308" s="8"/>
    </row>
    <row r="309" ht="15.75" customHeight="1">
      <c r="A309" s="69" t="s">
        <v>532</v>
      </c>
      <c r="B309" s="60">
        <v>45833.541666666664</v>
      </c>
      <c r="C309" s="58" t="s">
        <v>180</v>
      </c>
      <c r="D309" s="58" t="s">
        <v>626</v>
      </c>
      <c r="E309" s="68" t="s">
        <v>51</v>
      </c>
      <c r="F309" s="58" t="s">
        <v>438</v>
      </c>
      <c r="G309" s="62"/>
      <c r="H309" s="62"/>
      <c r="I309" s="58"/>
      <c r="J309" s="58"/>
      <c r="K309" s="58"/>
      <c r="L309" s="58"/>
      <c r="M309" s="58"/>
      <c r="N309" s="8"/>
    </row>
    <row r="310" ht="15.75" customHeight="1">
      <c r="A310" s="75" t="s">
        <v>488</v>
      </c>
      <c r="B310" s="80">
        <v>45834.0</v>
      </c>
      <c r="C310" s="63" t="s">
        <v>371</v>
      </c>
      <c r="D310" s="63" t="s">
        <v>372</v>
      </c>
      <c r="E310" s="79" t="s">
        <v>371</v>
      </c>
      <c r="F310" s="59"/>
      <c r="G310" s="62"/>
      <c r="H310" s="62"/>
      <c r="I310" s="58"/>
      <c r="J310" s="58"/>
      <c r="K310" s="58"/>
      <c r="L310" s="58"/>
      <c r="M310" s="58"/>
      <c r="N310" s="8"/>
    </row>
    <row r="311" ht="15.75" customHeight="1">
      <c r="A311" s="69" t="s">
        <v>274</v>
      </c>
      <c r="B311" s="58" t="s">
        <v>627</v>
      </c>
      <c r="C311" s="58" t="s">
        <v>180</v>
      </c>
      <c r="D311" s="58" t="s">
        <v>628</v>
      </c>
      <c r="E311" s="68" t="s">
        <v>51</v>
      </c>
      <c r="F311" s="59" t="s">
        <v>629</v>
      </c>
      <c r="G311" s="62"/>
      <c r="H311" s="62"/>
      <c r="I311" s="58"/>
      <c r="J311" s="58"/>
      <c r="K311" s="58"/>
      <c r="L311" s="58"/>
      <c r="M311" s="58"/>
      <c r="N311" s="8"/>
    </row>
    <row r="312" ht="15.75" customHeight="1">
      <c r="A312" s="69" t="s">
        <v>630</v>
      </c>
      <c r="B312" s="60">
        <v>45835.958333333336</v>
      </c>
      <c r="C312" s="58" t="s">
        <v>180</v>
      </c>
      <c r="D312" s="58" t="s">
        <v>631</v>
      </c>
      <c r="E312" s="68" t="s">
        <v>51</v>
      </c>
      <c r="F312" s="58" t="s">
        <v>632</v>
      </c>
      <c r="G312" s="62"/>
      <c r="H312" s="62"/>
      <c r="I312" s="58"/>
      <c r="J312" s="58"/>
      <c r="K312" s="58"/>
      <c r="L312" s="58"/>
      <c r="M312" s="58"/>
      <c r="N312" s="8"/>
    </row>
    <row r="313" ht="15.75" customHeight="1">
      <c r="A313" s="64" t="s">
        <v>633</v>
      </c>
      <c r="B313" s="60">
        <v>45835.0</v>
      </c>
      <c r="C313" s="58" t="s">
        <v>155</v>
      </c>
      <c r="D313" s="58" t="s">
        <v>634</v>
      </c>
      <c r="E313" s="68" t="s">
        <v>51</v>
      </c>
      <c r="F313" s="58" t="s">
        <v>160</v>
      </c>
      <c r="G313" s="62"/>
      <c r="H313" s="62"/>
      <c r="I313" s="58"/>
      <c r="J313" s="58"/>
      <c r="K313" s="58"/>
      <c r="L313" s="58"/>
      <c r="M313" s="58"/>
      <c r="N313" s="8"/>
    </row>
    <row r="314" ht="15.75" customHeight="1">
      <c r="A314" s="69" t="s">
        <v>635</v>
      </c>
      <c r="B314" s="60">
        <v>45836.541666666664</v>
      </c>
      <c r="C314" s="58" t="s">
        <v>180</v>
      </c>
      <c r="D314" s="58" t="s">
        <v>636</v>
      </c>
      <c r="E314" s="68" t="s">
        <v>51</v>
      </c>
      <c r="F314" s="58" t="s">
        <v>438</v>
      </c>
      <c r="G314" s="62"/>
      <c r="H314" s="62"/>
      <c r="I314" s="58"/>
      <c r="J314" s="58"/>
      <c r="K314" s="58"/>
      <c r="L314" s="58"/>
      <c r="M314" s="58"/>
      <c r="N314" s="8"/>
    </row>
    <row r="315" ht="15.75" customHeight="1">
      <c r="A315" s="69" t="s">
        <v>637</v>
      </c>
      <c r="B315" s="60">
        <v>45837.833333333336</v>
      </c>
      <c r="C315" s="58" t="s">
        <v>180</v>
      </c>
      <c r="D315" s="58" t="s">
        <v>638</v>
      </c>
      <c r="E315" s="68" t="s">
        <v>51</v>
      </c>
      <c r="F315" s="59" t="s">
        <v>160</v>
      </c>
      <c r="G315" s="62"/>
      <c r="H315" s="62"/>
      <c r="I315" s="58"/>
      <c r="J315" s="58"/>
      <c r="K315" s="58"/>
      <c r="L315" s="58"/>
      <c r="M315" s="58"/>
      <c r="N315" s="8"/>
    </row>
    <row r="316" ht="15.75" customHeight="1">
      <c r="A316" s="69" t="s">
        <v>639</v>
      </c>
      <c r="B316" s="73">
        <v>45822.333333333336</v>
      </c>
      <c r="C316" s="58" t="s">
        <v>209</v>
      </c>
      <c r="D316" s="58" t="s">
        <v>640</v>
      </c>
      <c r="E316" s="68" t="s">
        <v>51</v>
      </c>
      <c r="F316" s="59" t="s">
        <v>641</v>
      </c>
      <c r="G316" s="62"/>
      <c r="H316" s="62"/>
      <c r="I316" s="58"/>
      <c r="J316" s="58"/>
      <c r="K316" s="58"/>
      <c r="L316" s="58"/>
      <c r="M316" s="58"/>
      <c r="N316" s="8"/>
    </row>
    <row r="317" ht="15.75" customHeight="1">
      <c r="A317" s="69" t="s">
        <v>504</v>
      </c>
      <c r="B317" s="73">
        <v>45833.333333333336</v>
      </c>
      <c r="C317" s="58" t="s">
        <v>200</v>
      </c>
      <c r="D317" s="58" t="s">
        <v>642</v>
      </c>
      <c r="E317" s="68" t="s">
        <v>51</v>
      </c>
      <c r="F317" s="59" t="s">
        <v>506</v>
      </c>
      <c r="G317" s="62"/>
      <c r="H317" s="62"/>
      <c r="I317" s="58"/>
      <c r="J317" s="58"/>
      <c r="K317" s="58"/>
      <c r="L317" s="58"/>
      <c r="M317" s="58"/>
      <c r="N317" s="8"/>
    </row>
    <row r="318" ht="15.75" customHeight="1">
      <c r="A318" s="69" t="s">
        <v>529</v>
      </c>
      <c r="B318" s="60">
        <v>45843.833333333336</v>
      </c>
      <c r="C318" s="58" t="s">
        <v>142</v>
      </c>
      <c r="D318" s="58" t="s">
        <v>643</v>
      </c>
      <c r="E318" s="68" t="s">
        <v>51</v>
      </c>
      <c r="F318" s="59" t="s">
        <v>140</v>
      </c>
      <c r="G318" s="62"/>
      <c r="H318" s="62"/>
      <c r="I318" s="58"/>
      <c r="J318" s="58"/>
      <c r="K318" s="58"/>
      <c r="L318" s="58"/>
      <c r="M318" s="58"/>
      <c r="N318" s="8"/>
    </row>
    <row r="319" ht="15.75" customHeight="1">
      <c r="A319" s="69" t="s">
        <v>644</v>
      </c>
      <c r="B319" s="60">
        <v>45846.75</v>
      </c>
      <c r="C319" s="58" t="s">
        <v>142</v>
      </c>
      <c r="D319" s="59" t="s">
        <v>645</v>
      </c>
      <c r="E319" s="68" t="s">
        <v>51</v>
      </c>
      <c r="F319" s="59" t="s">
        <v>160</v>
      </c>
      <c r="G319" s="62"/>
      <c r="H319" s="62"/>
      <c r="I319" s="58"/>
      <c r="J319" s="58"/>
      <c r="K319" s="58"/>
      <c r="L319" s="58"/>
      <c r="M319" s="58"/>
      <c r="N319" s="8"/>
    </row>
    <row r="320" ht="15.75" customHeight="1">
      <c r="A320" s="69" t="s">
        <v>529</v>
      </c>
      <c r="B320" s="60">
        <v>45850.833333333336</v>
      </c>
      <c r="C320" s="58" t="s">
        <v>142</v>
      </c>
      <c r="D320" s="58" t="s">
        <v>643</v>
      </c>
      <c r="E320" s="68" t="s">
        <v>51</v>
      </c>
      <c r="F320" s="59" t="s">
        <v>140</v>
      </c>
      <c r="G320" s="62"/>
      <c r="H320" s="62"/>
      <c r="I320" s="58"/>
      <c r="J320" s="58"/>
      <c r="K320" s="58"/>
      <c r="L320" s="58"/>
      <c r="M320" s="58"/>
      <c r="N320" s="8"/>
    </row>
    <row r="321" ht="15.75" customHeight="1">
      <c r="A321" s="69" t="s">
        <v>436</v>
      </c>
      <c r="B321" s="58" t="s">
        <v>646</v>
      </c>
      <c r="C321" s="58" t="s">
        <v>142</v>
      </c>
      <c r="D321" s="58" t="s">
        <v>647</v>
      </c>
      <c r="E321" s="68" t="s">
        <v>51</v>
      </c>
      <c r="F321" s="59" t="s">
        <v>377</v>
      </c>
      <c r="G321" s="62"/>
      <c r="H321" s="62"/>
      <c r="I321" s="58"/>
      <c r="J321" s="58"/>
      <c r="K321" s="58"/>
      <c r="L321" s="58"/>
      <c r="M321" s="58"/>
      <c r="N321" s="8"/>
    </row>
    <row r="322" ht="15.75" customHeight="1">
      <c r="A322" s="69" t="s">
        <v>648</v>
      </c>
      <c r="B322" s="60">
        <v>45856.770833333336</v>
      </c>
      <c r="C322" s="58" t="s">
        <v>142</v>
      </c>
      <c r="D322" s="58" t="s">
        <v>649</v>
      </c>
      <c r="E322" s="68" t="s">
        <v>51</v>
      </c>
      <c r="F322" s="59" t="s">
        <v>160</v>
      </c>
      <c r="G322" s="62"/>
      <c r="H322" s="62"/>
      <c r="I322" s="58"/>
      <c r="J322" s="58"/>
      <c r="K322" s="58"/>
      <c r="L322" s="58"/>
      <c r="M322" s="58"/>
      <c r="N322" s="8"/>
    </row>
    <row r="323" ht="15.75" customHeight="1">
      <c r="A323" s="69" t="s">
        <v>529</v>
      </c>
      <c r="B323" s="60">
        <v>45864.833333333336</v>
      </c>
      <c r="C323" s="58" t="s">
        <v>142</v>
      </c>
      <c r="D323" s="58" t="s">
        <v>643</v>
      </c>
      <c r="E323" s="68" t="s">
        <v>51</v>
      </c>
      <c r="F323" s="59" t="s">
        <v>160</v>
      </c>
      <c r="G323" s="62"/>
      <c r="H323" s="62"/>
      <c r="I323" s="58"/>
      <c r="J323" s="58"/>
      <c r="K323" s="58"/>
      <c r="L323" s="58"/>
      <c r="M323" s="58"/>
      <c r="N323" s="8"/>
    </row>
    <row r="324" ht="15.75" customHeight="1">
      <c r="A324" s="64" t="s">
        <v>650</v>
      </c>
      <c r="B324" s="60">
        <v>45848.0</v>
      </c>
      <c r="C324" s="58" t="s">
        <v>138</v>
      </c>
      <c r="D324" s="58" t="s">
        <v>651</v>
      </c>
      <c r="E324" s="68" t="s">
        <v>51</v>
      </c>
      <c r="F324" s="59" t="s">
        <v>652</v>
      </c>
      <c r="G324" s="62"/>
      <c r="H324" s="62"/>
      <c r="I324" s="58"/>
      <c r="J324" s="58"/>
      <c r="K324" s="58"/>
      <c r="L324" s="58"/>
      <c r="M324" s="58"/>
      <c r="N324" s="8"/>
    </row>
    <row r="325" ht="15.75" customHeight="1">
      <c r="A325" s="69" t="s">
        <v>653</v>
      </c>
      <c r="B325" s="60">
        <v>45848.333333333336</v>
      </c>
      <c r="C325" s="58" t="s">
        <v>186</v>
      </c>
      <c r="D325" s="58" t="s">
        <v>654</v>
      </c>
      <c r="E325" s="68" t="s">
        <v>51</v>
      </c>
      <c r="F325" s="59" t="s">
        <v>655</v>
      </c>
      <c r="G325" s="62"/>
      <c r="H325" s="62"/>
      <c r="I325" s="58"/>
      <c r="J325" s="58"/>
      <c r="K325" s="58"/>
      <c r="L325" s="58"/>
      <c r="M325" s="58"/>
      <c r="N325" s="8"/>
    </row>
    <row r="326" ht="15.75" customHeight="1">
      <c r="A326" s="69" t="s">
        <v>656</v>
      </c>
      <c r="B326" s="60">
        <v>45846.0</v>
      </c>
      <c r="C326" s="58" t="s">
        <v>252</v>
      </c>
      <c r="D326" s="58" t="s">
        <v>657</v>
      </c>
      <c r="E326" s="68" t="s">
        <v>51</v>
      </c>
      <c r="F326" s="59" t="s">
        <v>160</v>
      </c>
      <c r="G326" s="62"/>
      <c r="H326" s="62"/>
      <c r="I326" s="58"/>
      <c r="J326" s="58"/>
      <c r="K326" s="58"/>
      <c r="L326" s="58"/>
      <c r="M326" s="58"/>
      <c r="N326" s="8"/>
    </row>
    <row r="327" ht="15.75" customHeight="1">
      <c r="A327" s="69" t="s">
        <v>658</v>
      </c>
      <c r="B327" s="60">
        <v>45853.0</v>
      </c>
      <c r="C327" s="58" t="s">
        <v>252</v>
      </c>
      <c r="D327" s="58" t="s">
        <v>659</v>
      </c>
      <c r="E327" s="68" t="s">
        <v>51</v>
      </c>
      <c r="F327" s="59" t="s">
        <v>377</v>
      </c>
      <c r="G327" s="62"/>
      <c r="H327" s="62"/>
      <c r="I327" s="58"/>
      <c r="J327" s="58"/>
      <c r="K327" s="58"/>
      <c r="L327" s="58"/>
      <c r="M327" s="58"/>
      <c r="N327" s="8"/>
    </row>
    <row r="328" ht="15.75" customHeight="1">
      <c r="A328" s="69" t="s">
        <v>660</v>
      </c>
      <c r="B328" s="60">
        <v>45854.0</v>
      </c>
      <c r="C328" s="58" t="s">
        <v>252</v>
      </c>
      <c r="D328" s="58" t="s">
        <v>661</v>
      </c>
      <c r="E328" s="68" t="s">
        <v>51</v>
      </c>
      <c r="F328" s="59" t="s">
        <v>451</v>
      </c>
      <c r="G328" s="62"/>
      <c r="H328" s="62"/>
      <c r="I328" s="58"/>
      <c r="J328" s="58"/>
      <c r="K328" s="58"/>
      <c r="L328" s="58"/>
      <c r="M328" s="58"/>
      <c r="N328" s="8"/>
    </row>
    <row r="329" ht="15.75" customHeight="1">
      <c r="A329" s="69" t="s">
        <v>662</v>
      </c>
      <c r="B329" s="60">
        <v>45861.0</v>
      </c>
      <c r="C329" s="58" t="s">
        <v>252</v>
      </c>
      <c r="D329" s="58" t="s">
        <v>663</v>
      </c>
      <c r="E329" s="68" t="s">
        <v>51</v>
      </c>
      <c r="F329" s="59" t="s">
        <v>160</v>
      </c>
      <c r="G329" s="62"/>
      <c r="H329" s="62"/>
      <c r="I329" s="58"/>
      <c r="J329" s="58"/>
      <c r="K329" s="58"/>
      <c r="L329" s="58"/>
      <c r="M329" s="58"/>
      <c r="N329" s="8"/>
    </row>
    <row r="330" ht="15.75" customHeight="1">
      <c r="A330" s="69" t="s">
        <v>664</v>
      </c>
      <c r="B330" s="60">
        <v>45862.0</v>
      </c>
      <c r="C330" s="58" t="s">
        <v>252</v>
      </c>
      <c r="D330" s="58" t="s">
        <v>665</v>
      </c>
      <c r="E330" s="68" t="s">
        <v>51</v>
      </c>
      <c r="F330" s="59" t="s">
        <v>503</v>
      </c>
      <c r="G330" s="62"/>
      <c r="H330" s="62"/>
      <c r="I330" s="58"/>
      <c r="J330" s="58"/>
      <c r="K330" s="58"/>
      <c r="L330" s="58"/>
      <c r="M330" s="58"/>
      <c r="N330" s="8"/>
    </row>
    <row r="331" ht="15.75" customHeight="1">
      <c r="A331" s="69" t="s">
        <v>666</v>
      </c>
      <c r="B331" s="58" t="s">
        <v>667</v>
      </c>
      <c r="C331" s="58" t="s">
        <v>175</v>
      </c>
      <c r="D331" s="58" t="s">
        <v>668</v>
      </c>
      <c r="E331" s="68" t="s">
        <v>51</v>
      </c>
      <c r="F331" s="59" t="s">
        <v>160</v>
      </c>
      <c r="G331" s="62"/>
      <c r="H331" s="62"/>
      <c r="I331" s="58"/>
      <c r="J331" s="58"/>
      <c r="K331" s="58"/>
      <c r="L331" s="58"/>
      <c r="M331" s="58"/>
      <c r="N331" s="8"/>
    </row>
    <row r="332" ht="15.75" customHeight="1">
      <c r="A332" s="69" t="s">
        <v>644</v>
      </c>
      <c r="B332" s="60">
        <v>45846.75</v>
      </c>
      <c r="C332" s="58" t="s">
        <v>175</v>
      </c>
      <c r="D332" s="58" t="s">
        <v>669</v>
      </c>
      <c r="E332" s="68" t="s">
        <v>51</v>
      </c>
      <c r="F332" s="59" t="s">
        <v>160</v>
      </c>
      <c r="G332" s="62"/>
      <c r="H332" s="62"/>
      <c r="I332" s="58"/>
      <c r="J332" s="58"/>
      <c r="K332" s="58"/>
      <c r="L332" s="58"/>
      <c r="M332" s="58"/>
      <c r="N332" s="8"/>
    </row>
    <row r="333" ht="15.75" customHeight="1">
      <c r="A333" s="69" t="s">
        <v>670</v>
      </c>
      <c r="B333" s="60">
        <v>45839.958333333336</v>
      </c>
      <c r="C333" s="58" t="s">
        <v>180</v>
      </c>
      <c r="D333" s="58" t="s">
        <v>671</v>
      </c>
      <c r="E333" s="68" t="s">
        <v>51</v>
      </c>
      <c r="F333" s="59" t="s">
        <v>160</v>
      </c>
      <c r="G333" s="62"/>
      <c r="H333" s="62"/>
      <c r="I333" s="58"/>
      <c r="J333" s="58"/>
      <c r="K333" s="58"/>
      <c r="L333" s="58"/>
      <c r="M333" s="58"/>
      <c r="N333" s="8"/>
    </row>
    <row r="334" ht="15.75" customHeight="1">
      <c r="A334" s="69" t="s">
        <v>672</v>
      </c>
      <c r="B334" s="60">
        <v>45848.541666666664</v>
      </c>
      <c r="C334" s="58" t="s">
        <v>180</v>
      </c>
      <c r="D334" s="59" t="s">
        <v>673</v>
      </c>
      <c r="E334" s="68" t="s">
        <v>51</v>
      </c>
      <c r="F334" s="59" t="s">
        <v>674</v>
      </c>
      <c r="G334" s="62"/>
      <c r="H334" s="62"/>
      <c r="I334" s="58"/>
      <c r="J334" s="58"/>
      <c r="K334" s="58"/>
      <c r="L334" s="58"/>
      <c r="M334" s="58"/>
      <c r="N334" s="8"/>
    </row>
    <row r="335" ht="15.75" customHeight="1">
      <c r="A335" s="69" t="s">
        <v>675</v>
      </c>
      <c r="B335" s="60">
        <v>45849.75</v>
      </c>
      <c r="C335" s="58" t="s">
        <v>180</v>
      </c>
      <c r="D335" s="58" t="s">
        <v>676</v>
      </c>
      <c r="E335" s="68" t="s">
        <v>51</v>
      </c>
      <c r="F335" s="59" t="s">
        <v>451</v>
      </c>
      <c r="G335" s="62"/>
      <c r="H335" s="62"/>
      <c r="I335" s="58"/>
      <c r="J335" s="58"/>
      <c r="K335" s="58"/>
      <c r="L335" s="58"/>
      <c r="M335" s="58"/>
      <c r="N335" s="8"/>
    </row>
    <row r="336" ht="15.75" customHeight="1">
      <c r="A336" s="69" t="s">
        <v>677</v>
      </c>
      <c r="B336" s="60">
        <v>45852.833333333336</v>
      </c>
      <c r="C336" s="58" t="s">
        <v>180</v>
      </c>
      <c r="D336" s="58" t="s">
        <v>678</v>
      </c>
      <c r="E336" s="68" t="s">
        <v>51</v>
      </c>
      <c r="F336" s="59" t="s">
        <v>451</v>
      </c>
      <c r="G336" s="62"/>
      <c r="H336" s="62"/>
      <c r="I336" s="58"/>
      <c r="J336" s="58"/>
      <c r="K336" s="58"/>
      <c r="L336" s="58"/>
      <c r="M336" s="58"/>
      <c r="N336" s="8"/>
    </row>
    <row r="337" ht="15.75" customHeight="1">
      <c r="A337" s="64" t="s">
        <v>679</v>
      </c>
      <c r="B337" s="60">
        <v>45852.791666666664</v>
      </c>
      <c r="C337" s="58" t="s">
        <v>180</v>
      </c>
      <c r="D337" s="58" t="s">
        <v>680</v>
      </c>
      <c r="E337" s="68" t="s">
        <v>51</v>
      </c>
      <c r="F337" s="59" t="s">
        <v>681</v>
      </c>
      <c r="G337" s="62"/>
      <c r="H337" s="62"/>
      <c r="I337" s="58"/>
      <c r="J337" s="58"/>
      <c r="K337" s="58"/>
      <c r="L337" s="58"/>
      <c r="M337" s="58"/>
      <c r="N337" s="8"/>
    </row>
    <row r="338" ht="15.75" customHeight="1">
      <c r="A338" s="69" t="s">
        <v>78</v>
      </c>
      <c r="B338" s="60">
        <v>45855.75</v>
      </c>
      <c r="C338" s="58" t="s">
        <v>180</v>
      </c>
      <c r="D338" s="58" t="s">
        <v>682</v>
      </c>
      <c r="E338" s="68" t="s">
        <v>51</v>
      </c>
      <c r="F338" s="58" t="s">
        <v>105</v>
      </c>
      <c r="G338" s="62"/>
      <c r="H338" s="62"/>
      <c r="I338" s="58"/>
      <c r="J338" s="58"/>
      <c r="K338" s="58"/>
      <c r="L338" s="58"/>
      <c r="M338" s="58"/>
      <c r="N338" s="8"/>
    </row>
    <row r="339" ht="15.75" customHeight="1">
      <c r="A339" s="69" t="s">
        <v>532</v>
      </c>
      <c r="B339" s="60">
        <v>45856.75</v>
      </c>
      <c r="C339" s="58" t="s">
        <v>180</v>
      </c>
      <c r="D339" s="58" t="s">
        <v>683</v>
      </c>
      <c r="E339" s="68" t="s">
        <v>51</v>
      </c>
      <c r="F339" s="58" t="s">
        <v>438</v>
      </c>
      <c r="G339" s="62"/>
      <c r="H339" s="62"/>
      <c r="I339" s="58"/>
      <c r="J339" s="58"/>
      <c r="K339" s="58"/>
      <c r="L339" s="58"/>
      <c r="M339" s="58"/>
      <c r="N339" s="8"/>
    </row>
    <row r="340" ht="15.75" customHeight="1">
      <c r="A340" s="82" t="s">
        <v>684</v>
      </c>
      <c r="B340" s="76">
        <v>45839.0</v>
      </c>
      <c r="C340" s="71" t="s">
        <v>196</v>
      </c>
      <c r="D340" s="71" t="s">
        <v>685</v>
      </c>
      <c r="E340" s="72" t="s">
        <v>51</v>
      </c>
      <c r="F340" s="71" t="s">
        <v>160</v>
      </c>
      <c r="G340" s="62"/>
      <c r="H340" s="62"/>
      <c r="I340" s="58"/>
      <c r="J340" s="58"/>
      <c r="K340" s="58"/>
      <c r="L340" s="58"/>
      <c r="M340" s="58"/>
      <c r="N340" s="8"/>
    </row>
    <row r="341" ht="15.75" customHeight="1">
      <c r="A341" s="82" t="s">
        <v>686</v>
      </c>
      <c r="B341" s="76">
        <v>45855.0</v>
      </c>
      <c r="C341" s="71" t="s">
        <v>196</v>
      </c>
      <c r="D341" s="71" t="s">
        <v>687</v>
      </c>
      <c r="E341" s="72" t="s">
        <v>51</v>
      </c>
      <c r="F341" s="71" t="s">
        <v>160</v>
      </c>
      <c r="G341" s="62"/>
      <c r="H341" s="62"/>
      <c r="I341" s="58"/>
      <c r="J341" s="58"/>
      <c r="K341" s="58"/>
      <c r="L341" s="58"/>
      <c r="M341" s="58"/>
      <c r="N341" s="8"/>
    </row>
    <row r="342" ht="15.75" customHeight="1">
      <c r="A342" s="69" t="s">
        <v>688</v>
      </c>
      <c r="B342" s="60">
        <v>45866.958333333336</v>
      </c>
      <c r="C342" s="58" t="s">
        <v>180</v>
      </c>
      <c r="D342" s="58" t="s">
        <v>683</v>
      </c>
      <c r="E342" s="68" t="s">
        <v>51</v>
      </c>
      <c r="F342" s="58" t="s">
        <v>438</v>
      </c>
      <c r="G342" s="62"/>
      <c r="H342" s="62"/>
      <c r="I342" s="58"/>
      <c r="J342" s="58"/>
      <c r="K342" s="58"/>
      <c r="L342" s="58"/>
      <c r="M342" s="58"/>
      <c r="N342" s="8"/>
    </row>
    <row r="343" ht="15.75" customHeight="1">
      <c r="A343" s="64" t="s">
        <v>689</v>
      </c>
      <c r="B343" s="76">
        <v>45891.0</v>
      </c>
      <c r="C343" s="58" t="s">
        <v>180</v>
      </c>
      <c r="D343" s="58" t="s">
        <v>690</v>
      </c>
      <c r="E343" s="68" t="s">
        <v>51</v>
      </c>
      <c r="F343" s="71" t="s">
        <v>160</v>
      </c>
      <c r="G343" s="62"/>
      <c r="H343" s="62"/>
      <c r="I343" s="58"/>
      <c r="J343" s="58"/>
      <c r="K343" s="58"/>
      <c r="L343" s="58"/>
      <c r="M343" s="58"/>
      <c r="N343" s="8"/>
    </row>
    <row r="344" ht="15.75" customHeight="1">
      <c r="A344" s="82" t="s">
        <v>691</v>
      </c>
      <c r="B344" s="76">
        <v>45891.0</v>
      </c>
      <c r="C344" s="71" t="s">
        <v>196</v>
      </c>
      <c r="D344" s="71" t="s">
        <v>692</v>
      </c>
      <c r="E344" s="72" t="s">
        <v>51</v>
      </c>
      <c r="F344" s="71" t="s">
        <v>160</v>
      </c>
      <c r="G344" s="62"/>
      <c r="H344" s="62"/>
      <c r="I344" s="58"/>
      <c r="J344" s="58"/>
      <c r="K344" s="58"/>
      <c r="L344" s="58"/>
      <c r="M344" s="58"/>
      <c r="N344" s="8"/>
    </row>
    <row r="345" ht="15.75" customHeight="1">
      <c r="A345" s="64" t="s">
        <v>693</v>
      </c>
      <c r="B345" s="60">
        <v>45872.0</v>
      </c>
      <c r="C345" s="58" t="s">
        <v>209</v>
      </c>
      <c r="D345" s="58" t="s">
        <v>694</v>
      </c>
      <c r="E345" s="68" t="s">
        <v>51</v>
      </c>
      <c r="F345" s="58" t="s">
        <v>695</v>
      </c>
      <c r="G345" s="62"/>
      <c r="H345" s="62"/>
      <c r="I345" s="58"/>
      <c r="J345" s="58"/>
      <c r="K345" s="58"/>
      <c r="L345" s="58"/>
      <c r="M345" s="58"/>
      <c r="N345" s="8"/>
    </row>
    <row r="346" ht="15.75" customHeight="1">
      <c r="A346" s="64" t="s">
        <v>696</v>
      </c>
      <c r="B346" s="73">
        <v>45874.0</v>
      </c>
      <c r="C346" s="58" t="s">
        <v>138</v>
      </c>
      <c r="D346" s="58" t="s">
        <v>697</v>
      </c>
      <c r="E346" s="68" t="s">
        <v>51</v>
      </c>
      <c r="F346" s="58" t="s">
        <v>698</v>
      </c>
      <c r="G346" s="62"/>
      <c r="H346" s="62"/>
      <c r="I346" s="58"/>
      <c r="J346" s="58"/>
      <c r="K346" s="58"/>
      <c r="L346" s="58"/>
      <c r="M346" s="58"/>
      <c r="N346" s="8"/>
    </row>
    <row r="347" ht="15.75" customHeight="1">
      <c r="A347" s="64" t="s">
        <v>699</v>
      </c>
      <c r="B347" s="58" t="s">
        <v>700</v>
      </c>
      <c r="C347" s="58" t="s">
        <v>138</v>
      </c>
      <c r="D347" s="58" t="s">
        <v>701</v>
      </c>
      <c r="E347" s="68" t="s">
        <v>51</v>
      </c>
      <c r="F347" s="58" t="s">
        <v>698</v>
      </c>
      <c r="G347" s="62"/>
      <c r="H347" s="62"/>
      <c r="I347" s="58"/>
      <c r="J347" s="58"/>
      <c r="K347" s="58"/>
      <c r="L347" s="58"/>
      <c r="M347" s="58"/>
      <c r="N347" s="8"/>
    </row>
    <row r="348" ht="15.75" customHeight="1">
      <c r="A348" s="82" t="s">
        <v>702</v>
      </c>
      <c r="B348" s="83">
        <v>45890.0</v>
      </c>
      <c r="C348" s="58" t="s">
        <v>138</v>
      </c>
      <c r="D348" s="71" t="s">
        <v>249</v>
      </c>
      <c r="E348" s="68" t="s">
        <v>98</v>
      </c>
      <c r="F348" s="71" t="s">
        <v>164</v>
      </c>
      <c r="G348" s="62"/>
      <c r="H348" s="62"/>
      <c r="I348" s="58"/>
      <c r="J348" s="58"/>
      <c r="K348" s="58"/>
      <c r="L348" s="58"/>
      <c r="M348" s="58"/>
      <c r="N348" s="8"/>
    </row>
    <row r="349" ht="15.75" customHeight="1">
      <c r="A349" s="82" t="s">
        <v>703</v>
      </c>
      <c r="B349" s="83">
        <v>45904.0</v>
      </c>
      <c r="C349" s="71" t="s">
        <v>180</v>
      </c>
      <c r="D349" s="71" t="s">
        <v>704</v>
      </c>
      <c r="E349" s="68" t="s">
        <v>51</v>
      </c>
      <c r="F349" s="71" t="s">
        <v>705</v>
      </c>
      <c r="G349" s="62"/>
      <c r="H349" s="62"/>
      <c r="I349" s="58"/>
      <c r="J349" s="58"/>
      <c r="K349" s="58"/>
      <c r="L349" s="58"/>
      <c r="M349" s="58"/>
      <c r="N349" s="8"/>
    </row>
    <row r="350" ht="15.75" customHeight="1">
      <c r="A350" s="82" t="s">
        <v>706</v>
      </c>
      <c r="B350" s="83">
        <v>45904.75</v>
      </c>
      <c r="C350" s="58" t="s">
        <v>138</v>
      </c>
      <c r="D350" s="71" t="s">
        <v>707</v>
      </c>
      <c r="E350" s="68" t="s">
        <v>51</v>
      </c>
      <c r="F350" s="71" t="s">
        <v>708</v>
      </c>
      <c r="G350" s="62"/>
      <c r="H350" s="62"/>
      <c r="I350" s="58"/>
      <c r="J350" s="58"/>
      <c r="K350" s="58"/>
      <c r="L350" s="58"/>
      <c r="M350" s="58"/>
      <c r="N350" s="8"/>
    </row>
    <row r="351" ht="15.75" customHeight="1">
      <c r="A351" s="82" t="s">
        <v>709</v>
      </c>
      <c r="B351" s="83">
        <v>45905.958333333336</v>
      </c>
      <c r="C351" s="71" t="s">
        <v>180</v>
      </c>
      <c r="D351" s="71" t="s">
        <v>710</v>
      </c>
      <c r="E351" s="68" t="s">
        <v>51</v>
      </c>
      <c r="F351" s="71" t="s">
        <v>711</v>
      </c>
      <c r="G351" s="62"/>
      <c r="H351" s="62"/>
      <c r="I351" s="58"/>
      <c r="J351" s="58"/>
      <c r="K351" s="58"/>
      <c r="L351" s="58"/>
      <c r="M351" s="58"/>
      <c r="N351" s="8"/>
    </row>
    <row r="352" ht="15.75" customHeight="1">
      <c r="A352" s="75" t="s">
        <v>712</v>
      </c>
      <c r="B352" s="83">
        <v>45905.0</v>
      </c>
      <c r="C352" s="58" t="s">
        <v>713</v>
      </c>
      <c r="D352" s="58" t="s">
        <v>714</v>
      </c>
      <c r="E352" s="68" t="s">
        <v>51</v>
      </c>
      <c r="F352" s="71" t="s">
        <v>520</v>
      </c>
      <c r="G352" s="62"/>
      <c r="H352" s="62"/>
      <c r="I352" s="58"/>
      <c r="J352" s="58"/>
      <c r="K352" s="58"/>
      <c r="L352" s="58"/>
      <c r="M352" s="58"/>
      <c r="N352" s="8"/>
    </row>
    <row r="353" ht="15.75" customHeight="1">
      <c r="A353" s="82" t="s">
        <v>715</v>
      </c>
      <c r="B353" s="83">
        <v>45906.541666666664</v>
      </c>
      <c r="C353" s="71" t="s">
        <v>180</v>
      </c>
      <c r="D353" s="71" t="s">
        <v>716</v>
      </c>
      <c r="E353" s="68" t="s">
        <v>51</v>
      </c>
      <c r="F353" s="71" t="s">
        <v>717</v>
      </c>
      <c r="G353" s="62"/>
      <c r="H353" s="62"/>
      <c r="I353" s="58"/>
      <c r="J353" s="58"/>
      <c r="K353" s="58"/>
      <c r="L353" s="58"/>
      <c r="M353" s="58"/>
      <c r="N353" s="8"/>
    </row>
    <row r="354" ht="15.75" customHeight="1">
      <c r="A354" s="82" t="s">
        <v>718</v>
      </c>
      <c r="B354" s="83">
        <v>45915.833333333336</v>
      </c>
      <c r="C354" s="71" t="s">
        <v>180</v>
      </c>
      <c r="D354" s="71" t="s">
        <v>719</v>
      </c>
      <c r="E354" s="68" t="s">
        <v>51</v>
      </c>
      <c r="F354" s="71" t="s">
        <v>720</v>
      </c>
      <c r="G354" s="62"/>
      <c r="H354" s="62"/>
      <c r="I354" s="58"/>
      <c r="J354" s="58"/>
      <c r="K354" s="58"/>
      <c r="L354" s="58"/>
      <c r="M354" s="58"/>
      <c r="N354" s="8"/>
    </row>
    <row r="355" ht="15.75" customHeight="1">
      <c r="A355" s="84" t="s">
        <v>721</v>
      </c>
      <c r="B355" s="83">
        <v>45916.875</v>
      </c>
      <c r="C355" s="71" t="s">
        <v>180</v>
      </c>
      <c r="D355" s="71" t="s">
        <v>722</v>
      </c>
      <c r="E355" s="68" t="s">
        <v>51</v>
      </c>
      <c r="F355" s="71" t="s">
        <v>723</v>
      </c>
      <c r="G355" s="62"/>
      <c r="H355" s="62"/>
      <c r="I355" s="58"/>
      <c r="J355" s="58"/>
      <c r="K355" s="58"/>
      <c r="L355" s="58"/>
      <c r="M355" s="58"/>
      <c r="N355" s="8"/>
    </row>
    <row r="356" ht="15.75" customHeight="1">
      <c r="A356" s="82" t="s">
        <v>724</v>
      </c>
      <c r="B356" s="83">
        <v>45918.0</v>
      </c>
      <c r="C356" s="71" t="s">
        <v>252</v>
      </c>
      <c r="D356" s="71" t="s">
        <v>725</v>
      </c>
      <c r="E356" s="68" t="s">
        <v>51</v>
      </c>
      <c r="F356" s="71" t="s">
        <v>705</v>
      </c>
      <c r="G356" s="62"/>
      <c r="H356" s="62"/>
      <c r="I356" s="58"/>
      <c r="J356" s="58"/>
      <c r="K356" s="58"/>
      <c r="L356" s="58"/>
      <c r="M356" s="58"/>
      <c r="N356" s="8"/>
    </row>
    <row r="357" ht="15.75" customHeight="1">
      <c r="A357" s="82" t="s">
        <v>726</v>
      </c>
      <c r="B357" s="83">
        <v>45920.541666666664</v>
      </c>
      <c r="C357" s="71" t="s">
        <v>180</v>
      </c>
      <c r="D357" s="71" t="s">
        <v>727</v>
      </c>
      <c r="E357" s="68" t="s">
        <v>51</v>
      </c>
      <c r="F357" s="71" t="s">
        <v>728</v>
      </c>
      <c r="G357" s="62"/>
      <c r="H357" s="62"/>
      <c r="I357" s="58"/>
      <c r="J357" s="58"/>
      <c r="K357" s="58"/>
      <c r="L357" s="58"/>
      <c r="M357" s="58"/>
      <c r="N357" s="8"/>
    </row>
    <row r="358" ht="15.75" customHeight="1">
      <c r="A358" s="82" t="s">
        <v>729</v>
      </c>
      <c r="B358" s="71" t="s">
        <v>730</v>
      </c>
      <c r="C358" s="58" t="s">
        <v>138</v>
      </c>
      <c r="D358" s="71" t="s">
        <v>652</v>
      </c>
      <c r="E358" s="68" t="s">
        <v>51</v>
      </c>
      <c r="F358" s="71" t="s">
        <v>164</v>
      </c>
      <c r="G358" s="62"/>
      <c r="H358" s="62"/>
      <c r="I358" s="58"/>
      <c r="J358" s="58"/>
      <c r="K358" s="58"/>
      <c r="L358" s="58"/>
      <c r="M358" s="58"/>
      <c r="N358" s="8"/>
    </row>
    <row r="359" ht="15.75" customHeight="1">
      <c r="A359" s="82" t="s">
        <v>731</v>
      </c>
      <c r="B359" s="83">
        <v>45924.416666666664</v>
      </c>
      <c r="C359" s="71" t="s">
        <v>180</v>
      </c>
      <c r="D359" s="71" t="s">
        <v>732</v>
      </c>
      <c r="E359" s="68" t="s">
        <v>51</v>
      </c>
      <c r="F359" s="71" t="s">
        <v>543</v>
      </c>
      <c r="G359" s="62"/>
      <c r="H359" s="62"/>
      <c r="I359" s="58"/>
      <c r="J359" s="58"/>
      <c r="K359" s="58"/>
      <c r="L359" s="58"/>
      <c r="M359" s="58"/>
      <c r="N359" s="8"/>
    </row>
    <row r="360" ht="15.75" customHeight="1">
      <c r="A360" s="82" t="s">
        <v>733</v>
      </c>
      <c r="B360" s="83">
        <v>45930.75</v>
      </c>
      <c r="C360" s="71" t="s">
        <v>180</v>
      </c>
      <c r="D360" s="71" t="s">
        <v>734</v>
      </c>
      <c r="E360" s="68" t="s">
        <v>51</v>
      </c>
      <c r="F360" s="71" t="s">
        <v>164</v>
      </c>
      <c r="G360" s="62"/>
      <c r="H360" s="62"/>
      <c r="I360" s="58"/>
      <c r="J360" s="58"/>
      <c r="K360" s="58"/>
      <c r="L360" s="58"/>
      <c r="M360" s="58"/>
      <c r="N360" s="8"/>
    </row>
    <row r="361" ht="15.75" customHeight="1">
      <c r="A361" s="84" t="s">
        <v>735</v>
      </c>
      <c r="B361" s="71" t="s">
        <v>736</v>
      </c>
      <c r="C361" s="66" t="s">
        <v>737</v>
      </c>
      <c r="D361" s="71" t="s">
        <v>738</v>
      </c>
      <c r="E361" s="68" t="s">
        <v>51</v>
      </c>
      <c r="F361" s="71" t="s">
        <v>739</v>
      </c>
      <c r="G361" s="62"/>
      <c r="H361" s="62"/>
      <c r="I361" s="58"/>
      <c r="J361" s="58"/>
      <c r="K361" s="58"/>
      <c r="L361" s="58"/>
      <c r="M361" s="58"/>
      <c r="N361" s="8"/>
    </row>
    <row r="362" ht="15.75" customHeight="1">
      <c r="A362" s="82" t="s">
        <v>740</v>
      </c>
      <c r="B362" s="76">
        <v>45903.0</v>
      </c>
      <c r="C362" s="71" t="s">
        <v>138</v>
      </c>
      <c r="D362" s="71" t="s">
        <v>741</v>
      </c>
      <c r="E362" s="68" t="s">
        <v>51</v>
      </c>
      <c r="F362" s="71" t="s">
        <v>164</v>
      </c>
      <c r="G362" s="62"/>
      <c r="H362" s="62"/>
      <c r="I362" s="58"/>
      <c r="J362" s="58"/>
      <c r="K362" s="58"/>
      <c r="L362" s="58"/>
      <c r="M362" s="58"/>
      <c r="N362" s="8"/>
    </row>
    <row r="363" ht="15.75" customHeight="1">
      <c r="A363" s="82" t="s">
        <v>742</v>
      </c>
      <c r="B363" s="83">
        <v>45902.9375</v>
      </c>
      <c r="C363" s="71" t="s">
        <v>189</v>
      </c>
      <c r="D363" s="71" t="s">
        <v>743</v>
      </c>
      <c r="E363" s="68" t="s">
        <v>51</v>
      </c>
      <c r="F363" s="71" t="s">
        <v>744</v>
      </c>
      <c r="G363" s="62"/>
      <c r="H363" s="62"/>
      <c r="I363" s="58"/>
      <c r="J363" s="58"/>
      <c r="K363" s="58"/>
      <c r="L363" s="58"/>
      <c r="M363" s="58"/>
      <c r="N363" s="8"/>
    </row>
    <row r="364" ht="15.75" customHeight="1">
      <c r="A364" s="82" t="s">
        <v>512</v>
      </c>
      <c r="B364" s="83">
        <v>45904.75</v>
      </c>
      <c r="C364" s="71" t="s">
        <v>189</v>
      </c>
      <c r="D364" s="71" t="s">
        <v>745</v>
      </c>
      <c r="E364" s="68" t="s">
        <v>51</v>
      </c>
      <c r="F364" s="71" t="s">
        <v>746</v>
      </c>
      <c r="G364" s="62"/>
      <c r="H364" s="62"/>
      <c r="I364" s="58"/>
      <c r="J364" s="58"/>
      <c r="K364" s="58"/>
      <c r="L364" s="58"/>
      <c r="M364" s="58"/>
      <c r="N364" s="8"/>
    </row>
    <row r="365" ht="15.75" customHeight="1">
      <c r="A365" s="82" t="s">
        <v>747</v>
      </c>
      <c r="B365" s="83">
        <v>45904.75</v>
      </c>
      <c r="C365" s="71" t="s">
        <v>189</v>
      </c>
      <c r="D365" s="71" t="s">
        <v>748</v>
      </c>
      <c r="E365" s="68" t="s">
        <v>51</v>
      </c>
      <c r="F365" s="71" t="s">
        <v>164</v>
      </c>
      <c r="G365" s="62"/>
      <c r="H365" s="62"/>
      <c r="I365" s="58"/>
      <c r="J365" s="58"/>
      <c r="K365" s="58"/>
      <c r="L365" s="58"/>
      <c r="M365" s="58"/>
      <c r="N365" s="8"/>
    </row>
    <row r="366" ht="15.75" customHeight="1">
      <c r="A366" s="82" t="s">
        <v>749</v>
      </c>
      <c r="B366" s="83">
        <v>45904.916666666664</v>
      </c>
      <c r="C366" s="71" t="s">
        <v>155</v>
      </c>
      <c r="D366" s="71" t="s">
        <v>748</v>
      </c>
      <c r="E366" s="68" t="s">
        <v>51</v>
      </c>
      <c r="F366" s="71" t="s">
        <v>164</v>
      </c>
      <c r="G366" s="62"/>
      <c r="H366" s="62"/>
      <c r="I366" s="58"/>
      <c r="J366" s="58"/>
      <c r="K366" s="58"/>
      <c r="L366" s="58"/>
      <c r="M366" s="58"/>
      <c r="N366" s="8"/>
    </row>
    <row r="367" ht="15.75" customHeight="1">
      <c r="A367" s="82" t="s">
        <v>529</v>
      </c>
      <c r="B367" s="83">
        <v>45906.75</v>
      </c>
      <c r="C367" s="71" t="s">
        <v>155</v>
      </c>
      <c r="D367" s="71" t="s">
        <v>750</v>
      </c>
      <c r="E367" s="68" t="s">
        <v>51</v>
      </c>
      <c r="F367" s="71" t="s">
        <v>751</v>
      </c>
      <c r="G367" s="62"/>
      <c r="H367" s="62"/>
      <c r="I367" s="58"/>
      <c r="J367" s="58"/>
      <c r="K367" s="58"/>
      <c r="L367" s="58"/>
      <c r="M367" s="58"/>
      <c r="N367" s="8"/>
    </row>
    <row r="368" ht="15.75" customHeight="1">
      <c r="A368" s="82" t="s">
        <v>296</v>
      </c>
      <c r="B368" s="83">
        <v>45910.75</v>
      </c>
      <c r="C368" s="71" t="s">
        <v>186</v>
      </c>
      <c r="D368" s="71" t="s">
        <v>752</v>
      </c>
      <c r="E368" s="68" t="s">
        <v>51</v>
      </c>
      <c r="F368" s="71" t="s">
        <v>160</v>
      </c>
      <c r="G368" s="62"/>
      <c r="H368" s="62"/>
      <c r="I368" s="58"/>
      <c r="J368" s="58"/>
      <c r="K368" s="58"/>
      <c r="L368" s="58"/>
      <c r="M368" s="58"/>
      <c r="N368" s="8"/>
    </row>
    <row r="369" ht="15.75" customHeight="1">
      <c r="A369" s="82" t="s">
        <v>753</v>
      </c>
      <c r="B369" s="83">
        <v>45910.958333333336</v>
      </c>
      <c r="C369" s="71" t="s">
        <v>186</v>
      </c>
      <c r="D369" s="71" t="s">
        <v>754</v>
      </c>
      <c r="E369" s="68" t="s">
        <v>51</v>
      </c>
      <c r="F369" s="71" t="s">
        <v>160</v>
      </c>
      <c r="G369" s="62"/>
      <c r="H369" s="62"/>
      <c r="I369" s="58"/>
      <c r="J369" s="58"/>
      <c r="K369" s="58"/>
      <c r="L369" s="58"/>
      <c r="M369" s="58"/>
      <c r="N369" s="8"/>
    </row>
    <row r="370" ht="15.75" customHeight="1">
      <c r="A370" s="82" t="s">
        <v>755</v>
      </c>
      <c r="B370" s="83">
        <v>45911.75</v>
      </c>
      <c r="C370" s="71" t="s">
        <v>189</v>
      </c>
      <c r="D370" s="71" t="s">
        <v>756</v>
      </c>
      <c r="E370" s="68" t="s">
        <v>51</v>
      </c>
      <c r="F370" s="71" t="s">
        <v>164</v>
      </c>
      <c r="G370" s="62"/>
      <c r="H370" s="62"/>
      <c r="I370" s="58"/>
      <c r="J370" s="58"/>
      <c r="K370" s="58"/>
      <c r="L370" s="58"/>
      <c r="M370" s="58"/>
      <c r="N370" s="8"/>
    </row>
    <row r="371" ht="15.75" customHeight="1">
      <c r="A371" s="82" t="s">
        <v>757</v>
      </c>
      <c r="B371" s="83">
        <v>45913.729166666664</v>
      </c>
      <c r="C371" s="71" t="s">
        <v>155</v>
      </c>
      <c r="D371" s="71" t="s">
        <v>758</v>
      </c>
      <c r="E371" s="68" t="s">
        <v>51</v>
      </c>
      <c r="F371" s="71" t="s">
        <v>164</v>
      </c>
      <c r="G371" s="62"/>
      <c r="H371" s="62"/>
      <c r="I371" s="58"/>
      <c r="J371" s="58"/>
      <c r="K371" s="58"/>
      <c r="L371" s="58"/>
      <c r="M371" s="58"/>
      <c r="N371" s="8"/>
    </row>
    <row r="372" ht="15.75" customHeight="1">
      <c r="A372" s="82" t="s">
        <v>759</v>
      </c>
      <c r="B372" s="83">
        <v>45913.541666666664</v>
      </c>
      <c r="C372" s="71" t="s">
        <v>186</v>
      </c>
      <c r="D372" s="71" t="s">
        <v>760</v>
      </c>
      <c r="E372" s="68" t="s">
        <v>51</v>
      </c>
      <c r="F372" s="71" t="s">
        <v>160</v>
      </c>
      <c r="G372" s="62"/>
      <c r="H372" s="62"/>
      <c r="I372" s="58"/>
      <c r="J372" s="58"/>
      <c r="K372" s="58"/>
      <c r="L372" s="58"/>
      <c r="M372" s="58"/>
      <c r="N372" s="8"/>
    </row>
    <row r="373" ht="15.75" customHeight="1">
      <c r="A373" s="82" t="s">
        <v>761</v>
      </c>
      <c r="B373" s="83" t="s">
        <v>762</v>
      </c>
      <c r="C373" s="71" t="s">
        <v>189</v>
      </c>
      <c r="D373" s="71" t="s">
        <v>763</v>
      </c>
      <c r="E373" s="68" t="s">
        <v>51</v>
      </c>
      <c r="F373" s="71" t="s">
        <v>764</v>
      </c>
      <c r="G373" s="62"/>
      <c r="H373" s="62"/>
      <c r="I373" s="58"/>
      <c r="J373" s="58"/>
      <c r="K373" s="58"/>
      <c r="L373" s="58"/>
      <c r="M373" s="58"/>
      <c r="N373" s="8"/>
    </row>
    <row r="374" ht="15.75" customHeight="1">
      <c r="A374" s="82" t="s">
        <v>742</v>
      </c>
      <c r="B374" s="83">
        <v>45918.958333333336</v>
      </c>
      <c r="C374" s="71" t="s">
        <v>189</v>
      </c>
      <c r="D374" s="71" t="s">
        <v>765</v>
      </c>
      <c r="E374" s="68" t="s">
        <v>51</v>
      </c>
      <c r="F374" s="71" t="s">
        <v>249</v>
      </c>
      <c r="G374" s="62"/>
      <c r="H374" s="62"/>
      <c r="I374" s="58"/>
      <c r="J374" s="58"/>
      <c r="K374" s="58"/>
      <c r="L374" s="58"/>
      <c r="M374" s="58"/>
      <c r="N374" s="8"/>
    </row>
    <row r="375" ht="15.75" customHeight="1">
      <c r="A375" s="82" t="s">
        <v>766</v>
      </c>
      <c r="B375" s="83">
        <v>45919.958333333336</v>
      </c>
      <c r="C375" s="71" t="s">
        <v>767</v>
      </c>
      <c r="D375" s="71" t="s">
        <v>768</v>
      </c>
      <c r="E375" s="68" t="s">
        <v>51</v>
      </c>
      <c r="F375" s="71" t="s">
        <v>249</v>
      </c>
      <c r="G375" s="62"/>
      <c r="H375" s="62"/>
      <c r="I375" s="58"/>
      <c r="J375" s="58"/>
      <c r="K375" s="58"/>
      <c r="L375" s="58"/>
      <c r="M375" s="58"/>
      <c r="N375" s="8"/>
    </row>
    <row r="376" ht="15.75" customHeight="1">
      <c r="A376" s="82" t="s">
        <v>769</v>
      </c>
      <c r="B376" s="83">
        <v>45919.75</v>
      </c>
      <c r="C376" s="71" t="s">
        <v>767</v>
      </c>
      <c r="D376" s="71" t="s">
        <v>770</v>
      </c>
      <c r="E376" s="68" t="s">
        <v>51</v>
      </c>
      <c r="F376" s="71" t="s">
        <v>160</v>
      </c>
      <c r="G376" s="62"/>
      <c r="H376" s="62"/>
      <c r="I376" s="58"/>
      <c r="J376" s="58"/>
      <c r="K376" s="58"/>
      <c r="L376" s="58"/>
      <c r="M376" s="58"/>
      <c r="N376" s="8"/>
    </row>
    <row r="377" ht="15.75" customHeight="1">
      <c r="A377" s="82" t="s">
        <v>726</v>
      </c>
      <c r="B377" s="83" t="s">
        <v>771</v>
      </c>
      <c r="C377" s="71" t="s">
        <v>772</v>
      </c>
      <c r="D377" s="71" t="s">
        <v>728</v>
      </c>
      <c r="E377" s="68" t="s">
        <v>51</v>
      </c>
      <c r="F377" s="71" t="s">
        <v>773</v>
      </c>
      <c r="G377" s="62"/>
      <c r="H377" s="62"/>
      <c r="I377" s="58"/>
      <c r="J377" s="58"/>
      <c r="K377" s="58"/>
      <c r="L377" s="58"/>
      <c r="M377" s="58"/>
      <c r="N377" s="8"/>
    </row>
    <row r="378" ht="15.75" customHeight="1">
      <c r="A378" s="82" t="s">
        <v>774</v>
      </c>
      <c r="B378" s="83">
        <v>45920.75</v>
      </c>
      <c r="C378" s="71" t="s">
        <v>189</v>
      </c>
      <c r="D378" s="71" t="s">
        <v>775</v>
      </c>
      <c r="E378" s="68" t="s">
        <v>51</v>
      </c>
      <c r="F378" s="71" t="s">
        <v>164</v>
      </c>
      <c r="G378" s="62"/>
      <c r="H378" s="62"/>
      <c r="I378" s="58"/>
      <c r="J378" s="58"/>
      <c r="K378" s="58"/>
      <c r="L378" s="58"/>
      <c r="M378" s="58"/>
      <c r="N378" s="8"/>
    </row>
    <row r="379" ht="15.75" customHeight="1">
      <c r="A379" s="82" t="s">
        <v>776</v>
      </c>
      <c r="B379" s="83">
        <v>45923.75</v>
      </c>
      <c r="C379" s="71" t="s">
        <v>189</v>
      </c>
      <c r="D379" s="71" t="s">
        <v>777</v>
      </c>
      <c r="E379" s="68" t="s">
        <v>51</v>
      </c>
      <c r="F379" s="71" t="s">
        <v>164</v>
      </c>
      <c r="G379" s="62"/>
      <c r="H379" s="62"/>
      <c r="I379" s="58"/>
      <c r="J379" s="58"/>
      <c r="K379" s="58"/>
      <c r="L379" s="58"/>
      <c r="M379" s="58"/>
      <c r="N379" s="8"/>
    </row>
    <row r="380" ht="15.75" customHeight="1">
      <c r="A380" s="82" t="s">
        <v>742</v>
      </c>
      <c r="B380" s="83">
        <v>45925.958333333336</v>
      </c>
      <c r="C380" s="71" t="s">
        <v>189</v>
      </c>
      <c r="D380" s="71" t="s">
        <v>765</v>
      </c>
      <c r="E380" s="68" t="s">
        <v>51</v>
      </c>
      <c r="F380" s="71" t="s">
        <v>249</v>
      </c>
      <c r="G380" s="62"/>
      <c r="H380" s="62"/>
      <c r="I380" s="58"/>
      <c r="J380" s="58"/>
      <c r="K380" s="58"/>
      <c r="L380" s="58"/>
      <c r="M380" s="58"/>
      <c r="N380" s="8"/>
    </row>
    <row r="381" ht="15.75" customHeight="1">
      <c r="A381" s="82" t="s">
        <v>778</v>
      </c>
      <c r="B381" s="83">
        <v>45901.541666666664</v>
      </c>
      <c r="C381" s="71" t="s">
        <v>228</v>
      </c>
      <c r="D381" s="71" t="s">
        <v>779</v>
      </c>
      <c r="E381" s="68" t="s">
        <v>51</v>
      </c>
      <c r="F381" s="71" t="s">
        <v>147</v>
      </c>
      <c r="G381" s="62"/>
      <c r="H381" s="62"/>
      <c r="I381" s="58"/>
      <c r="J381" s="58"/>
      <c r="K381" s="58"/>
      <c r="L381" s="58"/>
      <c r="M381" s="58"/>
      <c r="N381" s="8"/>
    </row>
    <row r="382" ht="15.75" customHeight="1">
      <c r="A382" s="82" t="s">
        <v>512</v>
      </c>
      <c r="B382" s="83">
        <v>45903.958333333336</v>
      </c>
      <c r="C382" s="71" t="s">
        <v>228</v>
      </c>
      <c r="D382" s="71" t="s">
        <v>780</v>
      </c>
      <c r="E382" s="68" t="s">
        <v>51</v>
      </c>
      <c r="F382" s="71" t="s">
        <v>164</v>
      </c>
      <c r="G382" s="62"/>
      <c r="H382" s="62"/>
      <c r="I382" s="58"/>
      <c r="J382" s="58"/>
      <c r="K382" s="58"/>
      <c r="L382" s="58"/>
      <c r="M382" s="58"/>
      <c r="N382" s="8"/>
    </row>
    <row r="383" ht="15.75" customHeight="1">
      <c r="A383" s="82" t="s">
        <v>742</v>
      </c>
      <c r="B383" s="83">
        <v>45904.958333333336</v>
      </c>
      <c r="C383" s="71" t="s">
        <v>228</v>
      </c>
      <c r="D383" s="71" t="s">
        <v>765</v>
      </c>
      <c r="E383" s="68" t="s">
        <v>51</v>
      </c>
      <c r="F383" s="71" t="s">
        <v>147</v>
      </c>
      <c r="G383" s="62"/>
      <c r="H383" s="62"/>
      <c r="I383" s="58"/>
      <c r="J383" s="58"/>
      <c r="K383" s="58"/>
      <c r="L383" s="58"/>
      <c r="M383" s="58"/>
      <c r="N383" s="8"/>
    </row>
    <row r="384" ht="15.75" customHeight="1">
      <c r="A384" s="82" t="s">
        <v>781</v>
      </c>
      <c r="B384" s="71" t="s">
        <v>782</v>
      </c>
      <c r="C384" s="71" t="s">
        <v>783</v>
      </c>
      <c r="D384" s="71" t="s">
        <v>784</v>
      </c>
      <c r="E384" s="68" t="s">
        <v>51</v>
      </c>
      <c r="F384" s="71" t="s">
        <v>147</v>
      </c>
      <c r="G384" s="62"/>
      <c r="H384" s="62"/>
      <c r="I384" s="58"/>
      <c r="J384" s="58"/>
      <c r="K384" s="58"/>
      <c r="L384" s="58"/>
      <c r="M384" s="58"/>
      <c r="N384" s="8"/>
    </row>
    <row r="385" ht="15.75" customHeight="1">
      <c r="A385" s="82" t="s">
        <v>785</v>
      </c>
      <c r="B385" s="83">
        <v>45911.75</v>
      </c>
      <c r="C385" s="71" t="s">
        <v>228</v>
      </c>
      <c r="D385" s="71" t="s">
        <v>786</v>
      </c>
      <c r="E385" s="68" t="s">
        <v>51</v>
      </c>
      <c r="F385" s="71" t="s">
        <v>147</v>
      </c>
      <c r="G385" s="62"/>
      <c r="H385" s="62"/>
      <c r="I385" s="58"/>
      <c r="J385" s="58"/>
      <c r="K385" s="58"/>
      <c r="L385" s="58"/>
      <c r="M385" s="58"/>
      <c r="N385" s="8"/>
    </row>
    <row r="386" ht="15.75" customHeight="1">
      <c r="A386" s="82" t="s">
        <v>742</v>
      </c>
      <c r="B386" s="83">
        <v>45911.958333333336</v>
      </c>
      <c r="C386" s="71" t="s">
        <v>228</v>
      </c>
      <c r="D386" s="71" t="s">
        <v>765</v>
      </c>
      <c r="E386" s="68" t="s">
        <v>51</v>
      </c>
      <c r="F386" s="71" t="s">
        <v>249</v>
      </c>
      <c r="G386" s="62"/>
      <c r="H386" s="62"/>
      <c r="I386" s="58"/>
      <c r="J386" s="58"/>
      <c r="K386" s="58"/>
      <c r="L386" s="58"/>
      <c r="M386" s="58"/>
      <c r="N386" s="8"/>
    </row>
    <row r="387" ht="15.75" customHeight="1">
      <c r="A387" s="82" t="s">
        <v>757</v>
      </c>
      <c r="B387" s="83">
        <v>45913.729166666664</v>
      </c>
      <c r="C387" s="71" t="s">
        <v>228</v>
      </c>
      <c r="D387" s="71" t="s">
        <v>787</v>
      </c>
      <c r="E387" s="68" t="s">
        <v>51</v>
      </c>
      <c r="F387" s="71" t="s">
        <v>164</v>
      </c>
      <c r="G387" s="62"/>
      <c r="H387" s="62"/>
      <c r="I387" s="58"/>
      <c r="J387" s="58"/>
      <c r="K387" s="58"/>
      <c r="L387" s="58"/>
      <c r="M387" s="58"/>
      <c r="N387" s="8"/>
    </row>
    <row r="388" ht="15.75" customHeight="1">
      <c r="A388" s="82" t="s">
        <v>788</v>
      </c>
      <c r="B388" s="83">
        <v>45913.708333333336</v>
      </c>
      <c r="C388" s="71" t="s">
        <v>228</v>
      </c>
      <c r="D388" s="71" t="s">
        <v>789</v>
      </c>
      <c r="E388" s="68" t="s">
        <v>51</v>
      </c>
      <c r="F388" s="71" t="s">
        <v>790</v>
      </c>
      <c r="G388" s="62"/>
      <c r="H388" s="62"/>
      <c r="I388" s="58"/>
      <c r="J388" s="58"/>
      <c r="K388" s="58"/>
      <c r="L388" s="58"/>
      <c r="M388" s="58"/>
      <c r="N388" s="8"/>
    </row>
    <row r="389" ht="15.75" customHeight="1">
      <c r="A389" s="82" t="s">
        <v>791</v>
      </c>
      <c r="B389" s="83">
        <v>45914.958333333336</v>
      </c>
      <c r="C389" s="71" t="s">
        <v>228</v>
      </c>
      <c r="D389" s="71" t="s">
        <v>792</v>
      </c>
      <c r="E389" s="68" t="s">
        <v>51</v>
      </c>
      <c r="F389" s="71" t="s">
        <v>147</v>
      </c>
      <c r="G389" s="62"/>
      <c r="H389" s="62"/>
      <c r="I389" s="58"/>
      <c r="J389" s="58"/>
      <c r="K389" s="58"/>
      <c r="L389" s="58"/>
      <c r="M389" s="58"/>
      <c r="N389" s="8"/>
    </row>
    <row r="390" ht="15.75" customHeight="1">
      <c r="A390" s="82" t="s">
        <v>793</v>
      </c>
      <c r="B390" s="83">
        <v>45919.958333333336</v>
      </c>
      <c r="C390" s="71" t="s">
        <v>228</v>
      </c>
      <c r="D390" s="71" t="s">
        <v>792</v>
      </c>
      <c r="E390" s="68" t="s">
        <v>51</v>
      </c>
      <c r="F390" s="71" t="s">
        <v>147</v>
      </c>
      <c r="G390" s="62"/>
      <c r="H390" s="62"/>
      <c r="I390" s="58"/>
      <c r="J390" s="58"/>
      <c r="K390" s="58"/>
      <c r="L390" s="58"/>
      <c r="M390" s="58"/>
      <c r="N390" s="8"/>
    </row>
    <row r="391" ht="15.75" customHeight="1">
      <c r="A391" s="82" t="s">
        <v>788</v>
      </c>
      <c r="B391" s="83">
        <v>45919.75</v>
      </c>
      <c r="C391" s="71" t="s">
        <v>228</v>
      </c>
      <c r="D391" s="71" t="s">
        <v>789</v>
      </c>
      <c r="E391" s="68" t="s">
        <v>51</v>
      </c>
      <c r="F391" s="71" t="s">
        <v>147</v>
      </c>
      <c r="G391" s="62"/>
      <c r="H391" s="62"/>
      <c r="I391" s="58"/>
      <c r="J391" s="58"/>
      <c r="K391" s="58"/>
      <c r="L391" s="58"/>
      <c r="M391" s="58"/>
      <c r="N391" s="8"/>
    </row>
    <row r="392" ht="15.75" customHeight="1">
      <c r="A392" s="82" t="s">
        <v>529</v>
      </c>
      <c r="B392" s="83">
        <v>45920.541666666664</v>
      </c>
      <c r="C392" s="71" t="s">
        <v>228</v>
      </c>
      <c r="D392" s="71" t="s">
        <v>794</v>
      </c>
      <c r="E392" s="68" t="s">
        <v>51</v>
      </c>
      <c r="F392" s="71" t="s">
        <v>147</v>
      </c>
      <c r="G392" s="62"/>
      <c r="H392" s="62"/>
      <c r="I392" s="58"/>
      <c r="J392" s="58"/>
      <c r="K392" s="58"/>
      <c r="L392" s="58"/>
      <c r="M392" s="58"/>
      <c r="N392" s="8"/>
    </row>
    <row r="393" ht="15.75" customHeight="1">
      <c r="A393" s="82" t="s">
        <v>795</v>
      </c>
      <c r="B393" s="83">
        <v>45923.5</v>
      </c>
      <c r="C393" s="71" t="s">
        <v>228</v>
      </c>
      <c r="D393" s="71" t="s">
        <v>796</v>
      </c>
      <c r="E393" s="68" t="s">
        <v>51</v>
      </c>
      <c r="F393" s="71" t="s">
        <v>147</v>
      </c>
      <c r="G393" s="62"/>
      <c r="H393" s="62"/>
      <c r="I393" s="58"/>
      <c r="J393" s="58"/>
      <c r="K393" s="58"/>
      <c r="L393" s="58"/>
      <c r="M393" s="58"/>
      <c r="N393" s="8"/>
    </row>
    <row r="394" ht="15.75" customHeight="1">
      <c r="A394" s="82" t="s">
        <v>797</v>
      </c>
      <c r="B394" s="83">
        <v>45924.958333333336</v>
      </c>
      <c r="C394" s="71" t="s">
        <v>228</v>
      </c>
      <c r="D394" s="71" t="s">
        <v>798</v>
      </c>
      <c r="E394" s="68" t="s">
        <v>51</v>
      </c>
      <c r="F394" s="71" t="s">
        <v>147</v>
      </c>
      <c r="G394" s="62"/>
      <c r="H394" s="62"/>
      <c r="I394" s="58"/>
      <c r="J394" s="58"/>
      <c r="K394" s="58"/>
      <c r="L394" s="58"/>
      <c r="M394" s="58"/>
      <c r="N394" s="8"/>
    </row>
    <row r="395" ht="15.75" customHeight="1">
      <c r="A395" s="82" t="s">
        <v>788</v>
      </c>
      <c r="B395" s="83">
        <v>45926.75</v>
      </c>
      <c r="C395" s="71" t="s">
        <v>228</v>
      </c>
      <c r="D395" s="71" t="s">
        <v>799</v>
      </c>
      <c r="E395" s="68" t="s">
        <v>51</v>
      </c>
      <c r="F395" s="71" t="s">
        <v>147</v>
      </c>
      <c r="G395" s="62"/>
      <c r="H395" s="62"/>
      <c r="I395" s="58"/>
      <c r="J395" s="58"/>
      <c r="K395" s="58"/>
      <c r="L395" s="58"/>
      <c r="M395" s="58"/>
      <c r="N395" s="8"/>
    </row>
    <row r="396" ht="15.75" customHeight="1">
      <c r="A396" s="82" t="s">
        <v>778</v>
      </c>
      <c r="B396" s="83">
        <v>45904.958333333336</v>
      </c>
      <c r="C396" s="71" t="s">
        <v>800</v>
      </c>
      <c r="D396" s="71" t="s">
        <v>801</v>
      </c>
      <c r="E396" s="68" t="s">
        <v>51</v>
      </c>
      <c r="F396" s="71" t="s">
        <v>164</v>
      </c>
      <c r="G396" s="62"/>
      <c r="H396" s="62"/>
      <c r="I396" s="58"/>
      <c r="J396" s="58"/>
      <c r="K396" s="58"/>
      <c r="L396" s="58"/>
      <c r="M396" s="58"/>
      <c r="N396" s="8"/>
    </row>
    <row r="397" ht="15.75" customHeight="1">
      <c r="A397" s="82" t="s">
        <v>802</v>
      </c>
      <c r="B397" s="83">
        <v>45905.958333333336</v>
      </c>
      <c r="C397" s="71" t="s">
        <v>800</v>
      </c>
      <c r="D397" s="71" t="s">
        <v>803</v>
      </c>
      <c r="E397" s="68" t="s">
        <v>51</v>
      </c>
      <c r="F397" s="71" t="s">
        <v>164</v>
      </c>
      <c r="G397" s="62"/>
      <c r="H397" s="62"/>
      <c r="I397" s="58"/>
      <c r="J397" s="58"/>
      <c r="K397" s="58"/>
      <c r="L397" s="58"/>
      <c r="M397" s="58"/>
      <c r="N397" s="8"/>
    </row>
    <row r="398" ht="15.75" customHeight="1">
      <c r="A398" s="82" t="s">
        <v>804</v>
      </c>
      <c r="B398" s="83">
        <v>45909.958333333336</v>
      </c>
      <c r="C398" s="71" t="s">
        <v>800</v>
      </c>
      <c r="D398" s="71" t="s">
        <v>805</v>
      </c>
      <c r="E398" s="68" t="s">
        <v>51</v>
      </c>
      <c r="F398" s="71" t="s">
        <v>806</v>
      </c>
      <c r="G398" s="62"/>
      <c r="H398" s="62"/>
      <c r="I398" s="58"/>
      <c r="J398" s="58"/>
      <c r="K398" s="58"/>
      <c r="L398" s="58"/>
      <c r="M398" s="58"/>
      <c r="N398" s="8"/>
    </row>
    <row r="399" ht="15.75" customHeight="1">
      <c r="A399" s="82" t="s">
        <v>807</v>
      </c>
      <c r="B399" s="83">
        <v>45910.958333333336</v>
      </c>
      <c r="C399" s="71" t="s">
        <v>800</v>
      </c>
      <c r="D399" s="71" t="s">
        <v>808</v>
      </c>
      <c r="E399" s="68" t="s">
        <v>51</v>
      </c>
      <c r="F399" s="71" t="s">
        <v>164</v>
      </c>
      <c r="G399" s="62"/>
      <c r="H399" s="62"/>
      <c r="I399" s="58"/>
      <c r="J399" s="58"/>
      <c r="K399" s="58"/>
      <c r="L399" s="58"/>
      <c r="M399" s="58"/>
      <c r="N399" s="8"/>
    </row>
    <row r="400" ht="15.75" customHeight="1">
      <c r="A400" s="82" t="s">
        <v>747</v>
      </c>
      <c r="B400" s="83">
        <v>45911.958333333336</v>
      </c>
      <c r="C400" s="71" t="s">
        <v>800</v>
      </c>
      <c r="D400" s="71" t="s">
        <v>809</v>
      </c>
      <c r="E400" s="68" t="s">
        <v>51</v>
      </c>
      <c r="F400" s="71" t="s">
        <v>164</v>
      </c>
      <c r="G400" s="62"/>
      <c r="H400" s="62"/>
      <c r="I400" s="58"/>
      <c r="J400" s="58"/>
      <c r="K400" s="58"/>
      <c r="L400" s="58"/>
      <c r="M400" s="58"/>
      <c r="N400" s="8"/>
    </row>
    <row r="401" ht="15.75" customHeight="1">
      <c r="A401" s="82" t="s">
        <v>810</v>
      </c>
      <c r="B401" s="83">
        <v>45913.958333333336</v>
      </c>
      <c r="C401" s="71" t="s">
        <v>800</v>
      </c>
      <c r="D401" s="71" t="s">
        <v>811</v>
      </c>
      <c r="E401" s="68" t="s">
        <v>51</v>
      </c>
      <c r="F401" s="71" t="s">
        <v>160</v>
      </c>
      <c r="G401" s="62"/>
      <c r="H401" s="62"/>
      <c r="I401" s="58"/>
      <c r="J401" s="58"/>
      <c r="K401" s="58"/>
      <c r="L401" s="58"/>
      <c r="M401" s="58"/>
      <c r="N401" s="8"/>
    </row>
    <row r="402" ht="15.75" customHeight="1">
      <c r="A402" s="82" t="s">
        <v>812</v>
      </c>
      <c r="B402" s="83">
        <v>45916.958333333336</v>
      </c>
      <c r="C402" s="71" t="s">
        <v>800</v>
      </c>
      <c r="D402" s="71" t="s">
        <v>157</v>
      </c>
      <c r="E402" s="68" t="s">
        <v>51</v>
      </c>
      <c r="F402" s="71" t="s">
        <v>806</v>
      </c>
      <c r="G402" s="62"/>
      <c r="H402" s="62"/>
      <c r="I402" s="58"/>
      <c r="J402" s="58"/>
      <c r="K402" s="58"/>
      <c r="L402" s="58"/>
      <c r="M402" s="58"/>
      <c r="N402" s="8"/>
    </row>
    <row r="403" ht="15.75" customHeight="1">
      <c r="A403" s="82" t="s">
        <v>813</v>
      </c>
      <c r="B403" s="83">
        <v>45917.958333333336</v>
      </c>
      <c r="C403" s="71" t="s">
        <v>800</v>
      </c>
      <c r="D403" s="71" t="s">
        <v>814</v>
      </c>
      <c r="E403" s="68" t="s">
        <v>51</v>
      </c>
      <c r="F403" s="71" t="s">
        <v>725</v>
      </c>
      <c r="G403" s="62"/>
      <c r="H403" s="62"/>
      <c r="I403" s="58"/>
      <c r="J403" s="58"/>
      <c r="K403" s="58"/>
      <c r="L403" s="58"/>
      <c r="M403" s="58"/>
      <c r="N403" s="8"/>
    </row>
    <row r="404" ht="15.75" customHeight="1">
      <c r="A404" s="82" t="s">
        <v>815</v>
      </c>
      <c r="B404" s="83">
        <v>45918.958333333336</v>
      </c>
      <c r="C404" s="71" t="s">
        <v>816</v>
      </c>
      <c r="D404" s="71" t="s">
        <v>817</v>
      </c>
      <c r="E404" s="68" t="s">
        <v>51</v>
      </c>
      <c r="F404" s="71" t="s">
        <v>164</v>
      </c>
      <c r="G404" s="62"/>
      <c r="H404" s="62"/>
      <c r="I404" s="58"/>
      <c r="J404" s="58"/>
      <c r="K404" s="58"/>
      <c r="L404" s="58"/>
      <c r="M404" s="58"/>
      <c r="N404" s="8"/>
    </row>
    <row r="405" ht="15.75" customHeight="1">
      <c r="A405" s="64" t="s">
        <v>126</v>
      </c>
      <c r="B405" s="71" t="s">
        <v>818</v>
      </c>
      <c r="C405" s="58" t="s">
        <v>128</v>
      </c>
      <c r="D405" s="58" t="s">
        <v>819</v>
      </c>
      <c r="E405" s="68" t="s">
        <v>51</v>
      </c>
      <c r="F405" s="58" t="s">
        <v>129</v>
      </c>
      <c r="G405" s="62"/>
      <c r="H405" s="62"/>
      <c r="I405" s="58"/>
      <c r="J405" s="58"/>
      <c r="K405" s="58"/>
      <c r="L405" s="58"/>
      <c r="M405" s="58"/>
      <c r="N405" s="8"/>
    </row>
    <row r="406" ht="15.75" customHeight="1">
      <c r="A406" s="82" t="s">
        <v>820</v>
      </c>
      <c r="B406" s="83">
        <v>45923.958333333336</v>
      </c>
      <c r="C406" s="71" t="s">
        <v>821</v>
      </c>
      <c r="D406" s="71" t="s">
        <v>822</v>
      </c>
      <c r="E406" s="68" t="s">
        <v>51</v>
      </c>
      <c r="F406" s="71" t="s">
        <v>157</v>
      </c>
      <c r="G406" s="62"/>
      <c r="H406" s="62"/>
      <c r="I406" s="58"/>
      <c r="J406" s="58"/>
      <c r="K406" s="58"/>
      <c r="L406" s="58"/>
      <c r="M406" s="58"/>
      <c r="N406" s="8"/>
    </row>
    <row r="407" ht="15.75" customHeight="1">
      <c r="A407" s="82" t="s">
        <v>823</v>
      </c>
      <c r="B407" s="83">
        <v>45924.958333333336</v>
      </c>
      <c r="C407" s="71" t="s">
        <v>800</v>
      </c>
      <c r="D407" s="71" t="s">
        <v>824</v>
      </c>
      <c r="E407" s="68" t="s">
        <v>51</v>
      </c>
      <c r="F407" s="71" t="s">
        <v>157</v>
      </c>
      <c r="G407" s="62"/>
      <c r="H407" s="62"/>
      <c r="I407" s="58"/>
      <c r="J407" s="58"/>
      <c r="K407" s="58"/>
      <c r="L407" s="58"/>
      <c r="M407" s="58"/>
      <c r="N407" s="8"/>
    </row>
    <row r="408" ht="15.75" customHeight="1">
      <c r="A408" s="82" t="s">
        <v>825</v>
      </c>
      <c r="B408" s="83">
        <v>45925.958333333336</v>
      </c>
      <c r="C408" s="71" t="s">
        <v>800</v>
      </c>
      <c r="D408" s="71" t="s">
        <v>652</v>
      </c>
      <c r="E408" s="68" t="s">
        <v>51</v>
      </c>
      <c r="F408" s="71" t="s">
        <v>157</v>
      </c>
      <c r="G408" s="62"/>
      <c r="H408" s="62"/>
      <c r="I408" s="58"/>
      <c r="J408" s="58"/>
      <c r="K408" s="58"/>
      <c r="L408" s="58"/>
      <c r="M408" s="58"/>
      <c r="N408" s="8"/>
    </row>
    <row r="409" ht="15.75" customHeight="1">
      <c r="A409" s="82" t="s">
        <v>49</v>
      </c>
      <c r="B409" s="83">
        <v>45925.958333333336</v>
      </c>
      <c r="C409" s="71" t="s">
        <v>821</v>
      </c>
      <c r="D409" s="71" t="s">
        <v>652</v>
      </c>
      <c r="E409" s="68" t="s">
        <v>51</v>
      </c>
      <c r="F409" s="71" t="s">
        <v>157</v>
      </c>
      <c r="G409" s="62"/>
      <c r="H409" s="62"/>
      <c r="I409" s="58"/>
      <c r="J409" s="58"/>
      <c r="K409" s="58"/>
      <c r="L409" s="58"/>
      <c r="M409" s="58"/>
      <c r="N409" s="8"/>
    </row>
    <row r="410" ht="15.75" customHeight="1">
      <c r="A410" s="82" t="s">
        <v>826</v>
      </c>
      <c r="B410" s="71" t="s">
        <v>827</v>
      </c>
      <c r="C410" s="58" t="s">
        <v>138</v>
      </c>
      <c r="D410" s="71" t="s">
        <v>160</v>
      </c>
      <c r="E410" s="68" t="s">
        <v>51</v>
      </c>
      <c r="F410" s="71" t="s">
        <v>160</v>
      </c>
      <c r="G410" s="62"/>
      <c r="H410" s="62"/>
      <c r="I410" s="58"/>
      <c r="J410" s="58"/>
      <c r="K410" s="58"/>
      <c r="L410" s="58"/>
      <c r="M410" s="58"/>
      <c r="N410" s="8"/>
    </row>
    <row r="411" ht="15.75" customHeight="1">
      <c r="A411" s="82" t="s">
        <v>828</v>
      </c>
      <c r="B411" s="83">
        <v>45927.958333333336</v>
      </c>
      <c r="C411" s="71" t="s">
        <v>816</v>
      </c>
      <c r="D411" s="71" t="s">
        <v>829</v>
      </c>
      <c r="E411" s="68" t="s">
        <v>51</v>
      </c>
      <c r="F411" s="71" t="s">
        <v>157</v>
      </c>
      <c r="G411" s="62"/>
      <c r="H411" s="62"/>
      <c r="I411" s="58"/>
      <c r="J411" s="58"/>
      <c r="K411" s="58"/>
      <c r="L411" s="58"/>
      <c r="M411" s="58"/>
      <c r="N411" s="8"/>
    </row>
    <row r="412" ht="15.75" customHeight="1">
      <c r="A412" s="82" t="s">
        <v>383</v>
      </c>
      <c r="B412" s="71" t="s">
        <v>830</v>
      </c>
      <c r="C412" s="71" t="s">
        <v>831</v>
      </c>
      <c r="D412" s="71" t="s">
        <v>832</v>
      </c>
      <c r="E412" s="68" t="s">
        <v>51</v>
      </c>
      <c r="F412" s="71" t="s">
        <v>160</v>
      </c>
      <c r="G412" s="62"/>
      <c r="H412" s="62"/>
      <c r="I412" s="58"/>
      <c r="J412" s="58"/>
      <c r="K412" s="58"/>
      <c r="L412" s="58"/>
      <c r="M412" s="58"/>
      <c r="N412" s="8"/>
    </row>
    <row r="413" ht="15.75" customHeight="1">
      <c r="A413" s="64" t="s">
        <v>833</v>
      </c>
      <c r="B413" s="58" t="s">
        <v>834</v>
      </c>
      <c r="C413" s="58" t="s">
        <v>175</v>
      </c>
      <c r="D413" s="71" t="s">
        <v>835</v>
      </c>
      <c r="E413" s="68" t="s">
        <v>51</v>
      </c>
      <c r="F413" s="71" t="s">
        <v>836</v>
      </c>
      <c r="G413" s="62"/>
      <c r="H413" s="62"/>
      <c r="I413" s="58"/>
      <c r="J413" s="58"/>
      <c r="K413" s="58"/>
      <c r="L413" s="58"/>
      <c r="M413" s="58"/>
      <c r="N413" s="8"/>
    </row>
    <row r="414" ht="15.75" customHeight="1">
      <c r="A414" s="64" t="s">
        <v>742</v>
      </c>
      <c r="B414" s="73">
        <v>45932.541666666664</v>
      </c>
      <c r="C414" s="58" t="s">
        <v>837</v>
      </c>
      <c r="D414" s="71" t="s">
        <v>838</v>
      </c>
      <c r="E414" s="68" t="s">
        <v>51</v>
      </c>
      <c r="F414" s="71" t="s">
        <v>839</v>
      </c>
      <c r="G414" s="62"/>
      <c r="H414" s="62"/>
      <c r="I414" s="58"/>
      <c r="J414" s="58"/>
      <c r="K414" s="58"/>
      <c r="L414" s="58"/>
      <c r="M414" s="58"/>
      <c r="N414" s="8"/>
    </row>
    <row r="415" ht="15.75" customHeight="1">
      <c r="A415" s="64" t="s">
        <v>840</v>
      </c>
      <c r="B415" s="73">
        <v>45932.791666666664</v>
      </c>
      <c r="C415" s="58" t="s">
        <v>155</v>
      </c>
      <c r="D415" s="71" t="s">
        <v>841</v>
      </c>
      <c r="E415" s="68" t="s">
        <v>51</v>
      </c>
      <c r="F415" s="71" t="s">
        <v>764</v>
      </c>
      <c r="G415" s="62"/>
      <c r="H415" s="62"/>
      <c r="I415" s="58"/>
      <c r="J415" s="58"/>
      <c r="K415" s="58"/>
      <c r="L415" s="58"/>
      <c r="M415" s="58"/>
      <c r="N415" s="8"/>
    </row>
    <row r="416" ht="15.75" customHeight="1">
      <c r="A416" s="64" t="s">
        <v>72</v>
      </c>
      <c r="B416" s="58" t="s">
        <v>842</v>
      </c>
      <c r="C416" s="58" t="s">
        <v>454</v>
      </c>
      <c r="D416" s="71" t="s">
        <v>843</v>
      </c>
      <c r="E416" s="68" t="s">
        <v>51</v>
      </c>
      <c r="F416" s="71" t="s">
        <v>438</v>
      </c>
      <c r="G416" s="62"/>
      <c r="H416" s="62"/>
      <c r="I416" s="58"/>
      <c r="J416" s="58"/>
      <c r="K416" s="58"/>
      <c r="L416" s="58"/>
      <c r="M416" s="58"/>
      <c r="N416" s="8"/>
    </row>
    <row r="417" ht="15.75" customHeight="1">
      <c r="A417" s="64" t="s">
        <v>844</v>
      </c>
      <c r="B417" s="73">
        <v>45933.958333333336</v>
      </c>
      <c r="C417" s="58" t="s">
        <v>189</v>
      </c>
      <c r="D417" s="71" t="s">
        <v>845</v>
      </c>
      <c r="E417" s="68" t="s">
        <v>51</v>
      </c>
      <c r="F417" s="71" t="s">
        <v>160</v>
      </c>
      <c r="G417" s="62"/>
      <c r="H417" s="62"/>
      <c r="I417" s="58"/>
      <c r="J417" s="58"/>
      <c r="K417" s="58"/>
      <c r="L417" s="58"/>
      <c r="M417" s="58"/>
      <c r="N417" s="8"/>
    </row>
    <row r="418" ht="15.75" customHeight="1">
      <c r="A418" s="75" t="s">
        <v>846</v>
      </c>
      <c r="B418" s="85">
        <v>45934.0</v>
      </c>
      <c r="C418" s="58" t="s">
        <v>454</v>
      </c>
      <c r="D418" s="66" t="s">
        <v>847</v>
      </c>
      <c r="E418" s="68" t="s">
        <v>51</v>
      </c>
      <c r="F418" s="66" t="s">
        <v>164</v>
      </c>
      <c r="G418" s="62"/>
      <c r="H418" s="62"/>
      <c r="I418" s="58"/>
      <c r="J418" s="58"/>
      <c r="K418" s="58"/>
      <c r="L418" s="58"/>
      <c r="M418" s="58"/>
      <c r="N418" s="8"/>
    </row>
    <row r="419" ht="15.75" customHeight="1">
      <c r="A419" s="64" t="s">
        <v>848</v>
      </c>
      <c r="B419" s="73">
        <v>45937.708333333336</v>
      </c>
      <c r="C419" s="58" t="s">
        <v>186</v>
      </c>
      <c r="D419" s="71" t="s">
        <v>849</v>
      </c>
      <c r="E419" s="68" t="s">
        <v>51</v>
      </c>
      <c r="F419" s="71" t="s">
        <v>221</v>
      </c>
      <c r="G419" s="62"/>
      <c r="H419" s="62"/>
      <c r="I419" s="58"/>
      <c r="J419" s="58"/>
      <c r="K419" s="58"/>
      <c r="L419" s="58"/>
      <c r="M419" s="58"/>
      <c r="N419" s="8"/>
    </row>
    <row r="420" ht="15.75" customHeight="1">
      <c r="A420" s="64" t="s">
        <v>850</v>
      </c>
      <c r="B420" s="83">
        <v>45937.0</v>
      </c>
      <c r="C420" s="71" t="s">
        <v>851</v>
      </c>
      <c r="D420" s="71" t="s">
        <v>852</v>
      </c>
      <c r="E420" s="68" t="s">
        <v>51</v>
      </c>
      <c r="F420" s="71" t="s">
        <v>487</v>
      </c>
      <c r="G420" s="62"/>
      <c r="H420" s="62"/>
      <c r="I420" s="58"/>
      <c r="J420" s="58"/>
      <c r="K420" s="58"/>
      <c r="L420" s="58"/>
      <c r="M420" s="58"/>
      <c r="N420" s="8"/>
    </row>
    <row r="421" ht="15.75" customHeight="1">
      <c r="A421" s="82" t="s">
        <v>312</v>
      </c>
      <c r="B421" s="83">
        <v>45937.0</v>
      </c>
      <c r="C421" s="71" t="s">
        <v>853</v>
      </c>
      <c r="D421" s="71" t="s">
        <v>854</v>
      </c>
      <c r="E421" s="68" t="s">
        <v>51</v>
      </c>
      <c r="F421" s="71" t="s">
        <v>855</v>
      </c>
      <c r="G421" s="62"/>
      <c r="H421" s="62"/>
      <c r="I421" s="58"/>
      <c r="J421" s="58"/>
      <c r="K421" s="58"/>
      <c r="L421" s="58"/>
      <c r="M421" s="58"/>
      <c r="N421" s="8"/>
    </row>
    <row r="422" ht="15.75" customHeight="1">
      <c r="A422" s="82" t="s">
        <v>856</v>
      </c>
      <c r="B422" s="83">
        <v>45938.958333333336</v>
      </c>
      <c r="C422" s="71" t="s">
        <v>800</v>
      </c>
      <c r="D422" s="71" t="s">
        <v>857</v>
      </c>
      <c r="E422" s="68" t="s">
        <v>51</v>
      </c>
      <c r="F422" s="71" t="s">
        <v>858</v>
      </c>
      <c r="G422" s="62"/>
      <c r="H422" s="62"/>
      <c r="I422" s="58"/>
      <c r="J422" s="58"/>
      <c r="K422" s="58"/>
      <c r="L422" s="58"/>
      <c r="M422" s="58"/>
      <c r="N422" s="8"/>
    </row>
    <row r="423" ht="15.75" customHeight="1">
      <c r="A423" s="82" t="s">
        <v>848</v>
      </c>
      <c r="B423" s="83">
        <v>45938.708333333336</v>
      </c>
      <c r="C423" s="71" t="s">
        <v>186</v>
      </c>
      <c r="D423" s="71" t="s">
        <v>859</v>
      </c>
      <c r="E423" s="68" t="s">
        <v>51</v>
      </c>
      <c r="F423" s="71" t="s">
        <v>860</v>
      </c>
      <c r="G423" s="62"/>
      <c r="H423" s="62"/>
      <c r="I423" s="58"/>
      <c r="J423" s="58"/>
      <c r="K423" s="58"/>
      <c r="L423" s="58"/>
      <c r="M423" s="58"/>
      <c r="N423" s="8"/>
    </row>
    <row r="424" ht="15.75" customHeight="1">
      <c r="A424" s="82" t="s">
        <v>861</v>
      </c>
      <c r="B424" s="83">
        <v>45938.958333333336</v>
      </c>
      <c r="C424" s="71" t="s">
        <v>180</v>
      </c>
      <c r="D424" s="71" t="s">
        <v>862</v>
      </c>
      <c r="E424" s="68" t="s">
        <v>51</v>
      </c>
      <c r="F424" s="71" t="s">
        <v>863</v>
      </c>
      <c r="G424" s="62"/>
      <c r="H424" s="62"/>
      <c r="I424" s="58"/>
      <c r="J424" s="58"/>
      <c r="K424" s="58"/>
      <c r="L424" s="58"/>
      <c r="M424" s="58"/>
      <c r="N424" s="8"/>
    </row>
    <row r="425" ht="15.75" customHeight="1">
      <c r="A425" s="82" t="s">
        <v>864</v>
      </c>
      <c r="B425" s="83">
        <v>45939.958333333336</v>
      </c>
      <c r="C425" s="71" t="s">
        <v>821</v>
      </c>
      <c r="D425" s="71" t="s">
        <v>865</v>
      </c>
      <c r="E425" s="68" t="s">
        <v>51</v>
      </c>
      <c r="F425" s="71" t="s">
        <v>866</v>
      </c>
      <c r="G425" s="62"/>
      <c r="H425" s="62"/>
      <c r="I425" s="58"/>
      <c r="J425" s="58"/>
      <c r="K425" s="58"/>
      <c r="L425" s="58"/>
      <c r="M425" s="58"/>
      <c r="N425" s="8"/>
    </row>
    <row r="426" ht="15.75" customHeight="1">
      <c r="A426" s="82" t="s">
        <v>867</v>
      </c>
      <c r="B426" s="83">
        <v>45939.75</v>
      </c>
      <c r="C426" s="71" t="s">
        <v>868</v>
      </c>
      <c r="D426" s="71" t="s">
        <v>869</v>
      </c>
      <c r="E426" s="68" t="s">
        <v>51</v>
      </c>
      <c r="F426" s="71" t="s">
        <v>870</v>
      </c>
      <c r="G426" s="62"/>
      <c r="H426" s="62"/>
      <c r="I426" s="58"/>
      <c r="J426" s="58"/>
      <c r="K426" s="58"/>
      <c r="L426" s="58"/>
      <c r="M426" s="58"/>
      <c r="N426" s="8"/>
    </row>
    <row r="427" ht="15.75" customHeight="1">
      <c r="A427" s="82" t="s">
        <v>871</v>
      </c>
      <c r="B427" s="83">
        <v>45939.958333333336</v>
      </c>
      <c r="C427" s="71" t="s">
        <v>800</v>
      </c>
      <c r="D427" s="71" t="s">
        <v>872</v>
      </c>
      <c r="E427" s="68" t="s">
        <v>51</v>
      </c>
      <c r="F427" s="71" t="s">
        <v>873</v>
      </c>
      <c r="G427" s="62"/>
      <c r="H427" s="62"/>
      <c r="I427" s="58"/>
      <c r="J427" s="58"/>
      <c r="K427" s="58"/>
      <c r="L427" s="58"/>
      <c r="M427" s="58"/>
      <c r="N427" s="8"/>
    </row>
    <row r="428" ht="15.75" customHeight="1">
      <c r="A428" s="82" t="s">
        <v>874</v>
      </c>
      <c r="B428" s="83">
        <v>45939.5</v>
      </c>
      <c r="C428" s="71" t="s">
        <v>175</v>
      </c>
      <c r="D428" s="71" t="s">
        <v>875</v>
      </c>
      <c r="E428" s="68" t="s">
        <v>51</v>
      </c>
      <c r="F428" s="71" t="s">
        <v>876</v>
      </c>
      <c r="G428" s="62"/>
      <c r="H428" s="62"/>
      <c r="I428" s="58"/>
      <c r="J428" s="58"/>
      <c r="K428" s="58"/>
      <c r="L428" s="58"/>
      <c r="M428" s="58"/>
      <c r="N428" s="8"/>
    </row>
    <row r="429" ht="15.75" customHeight="1">
      <c r="A429" s="82" t="s">
        <v>877</v>
      </c>
      <c r="B429" s="83">
        <v>45939.583333333336</v>
      </c>
      <c r="C429" s="71" t="s">
        <v>878</v>
      </c>
      <c r="D429" s="71" t="s">
        <v>879</v>
      </c>
      <c r="E429" s="68" t="s">
        <v>51</v>
      </c>
      <c r="F429" s="71" t="s">
        <v>880</v>
      </c>
      <c r="G429" s="62"/>
      <c r="H429" s="62"/>
      <c r="I429" s="58"/>
      <c r="J429" s="58"/>
      <c r="K429" s="58"/>
      <c r="L429" s="58"/>
      <c r="M429" s="58"/>
      <c r="N429" s="8"/>
    </row>
    <row r="430" ht="15.75" customHeight="1">
      <c r="A430" s="82" t="s">
        <v>881</v>
      </c>
      <c r="B430" s="83">
        <v>45939.75</v>
      </c>
      <c r="C430" s="71" t="s">
        <v>175</v>
      </c>
      <c r="D430" s="71" t="s">
        <v>882</v>
      </c>
      <c r="E430" s="68" t="s">
        <v>51</v>
      </c>
      <c r="F430" s="71" t="s">
        <v>883</v>
      </c>
      <c r="G430" s="62"/>
      <c r="H430" s="62"/>
      <c r="I430" s="58"/>
      <c r="J430" s="58"/>
      <c r="K430" s="58"/>
      <c r="L430" s="58"/>
      <c r="M430" s="58"/>
      <c r="N430" s="8"/>
    </row>
    <row r="431" ht="15.75" customHeight="1">
      <c r="A431" s="82" t="s">
        <v>742</v>
      </c>
      <c r="B431" s="83">
        <v>45939.958333333336</v>
      </c>
      <c r="C431" s="71" t="s">
        <v>189</v>
      </c>
      <c r="D431" s="71" t="s">
        <v>884</v>
      </c>
      <c r="E431" s="68" t="s">
        <v>51</v>
      </c>
      <c r="F431" s="71" t="s">
        <v>885</v>
      </c>
      <c r="G431" s="62"/>
      <c r="H431" s="62"/>
      <c r="I431" s="58"/>
      <c r="J431" s="58"/>
      <c r="K431" s="58"/>
      <c r="L431" s="58"/>
      <c r="M431" s="58"/>
      <c r="N431" s="8"/>
    </row>
    <row r="432" ht="15.75" customHeight="1">
      <c r="A432" s="82" t="s">
        <v>886</v>
      </c>
      <c r="B432" s="83">
        <v>45940.5</v>
      </c>
      <c r="C432" s="71" t="s">
        <v>155</v>
      </c>
      <c r="D432" s="71" t="s">
        <v>887</v>
      </c>
      <c r="E432" s="68" t="s">
        <v>51</v>
      </c>
      <c r="F432" s="71" t="s">
        <v>888</v>
      </c>
      <c r="G432" s="62"/>
      <c r="H432" s="62"/>
      <c r="I432" s="58"/>
      <c r="J432" s="58"/>
      <c r="K432" s="58"/>
      <c r="L432" s="58"/>
      <c r="M432" s="58"/>
      <c r="N432" s="8"/>
    </row>
    <row r="433" ht="15.75" customHeight="1">
      <c r="A433" s="82" t="s">
        <v>889</v>
      </c>
      <c r="B433" s="83">
        <v>45940.75</v>
      </c>
      <c r="C433" s="71" t="s">
        <v>252</v>
      </c>
      <c r="D433" s="71" t="s">
        <v>890</v>
      </c>
      <c r="E433" s="68" t="s">
        <v>51</v>
      </c>
      <c r="F433" s="71" t="s">
        <v>891</v>
      </c>
      <c r="G433" s="62"/>
      <c r="H433" s="62"/>
      <c r="I433" s="58"/>
      <c r="J433" s="58"/>
      <c r="K433" s="58"/>
      <c r="L433" s="58"/>
      <c r="M433" s="58"/>
      <c r="N433" s="8"/>
    </row>
    <row r="434" ht="15.75" customHeight="1">
      <c r="A434" s="82" t="s">
        <v>892</v>
      </c>
      <c r="B434" s="83">
        <v>45941.958333333336</v>
      </c>
      <c r="C434" s="71" t="s">
        <v>851</v>
      </c>
      <c r="D434" s="71" t="s">
        <v>893</v>
      </c>
      <c r="E434" s="68" t="s">
        <v>51</v>
      </c>
      <c r="F434" s="71" t="s">
        <v>894</v>
      </c>
      <c r="G434" s="62"/>
      <c r="H434" s="62"/>
      <c r="I434" s="58"/>
      <c r="J434" s="58"/>
      <c r="K434" s="58"/>
      <c r="L434" s="58"/>
      <c r="M434" s="58"/>
      <c r="N434" s="8"/>
    </row>
    <row r="435" ht="15.75" customHeight="1">
      <c r="A435" s="82" t="s">
        <v>895</v>
      </c>
      <c r="B435" s="83">
        <v>45941.958333333336</v>
      </c>
      <c r="C435" s="71" t="s">
        <v>896</v>
      </c>
      <c r="D435" s="71" t="s">
        <v>897</v>
      </c>
      <c r="E435" s="68" t="s">
        <v>51</v>
      </c>
      <c r="F435" s="71" t="s">
        <v>897</v>
      </c>
      <c r="G435" s="62"/>
      <c r="H435" s="62"/>
      <c r="I435" s="58"/>
      <c r="J435" s="58"/>
      <c r="K435" s="58"/>
      <c r="L435" s="58"/>
      <c r="M435" s="58"/>
      <c r="N435" s="8"/>
    </row>
    <row r="436" ht="15.75" customHeight="1">
      <c r="A436" s="82" t="s">
        <v>898</v>
      </c>
      <c r="B436" s="83" t="s">
        <v>899</v>
      </c>
      <c r="C436" s="71" t="s">
        <v>900</v>
      </c>
      <c r="D436" s="71" t="s">
        <v>901</v>
      </c>
      <c r="E436" s="68" t="s">
        <v>51</v>
      </c>
      <c r="F436" s="71" t="s">
        <v>902</v>
      </c>
      <c r="G436" s="62"/>
      <c r="H436" s="62"/>
      <c r="I436" s="58"/>
      <c r="J436" s="58"/>
      <c r="K436" s="58"/>
      <c r="L436" s="58"/>
      <c r="M436" s="58"/>
      <c r="N436" s="8"/>
    </row>
    <row r="437" ht="15.75" customHeight="1">
      <c r="A437" s="82" t="s">
        <v>903</v>
      </c>
      <c r="B437" s="83">
        <v>45944.958333333336</v>
      </c>
      <c r="C437" s="71" t="s">
        <v>904</v>
      </c>
      <c r="D437" s="71" t="s">
        <v>905</v>
      </c>
      <c r="E437" s="68" t="s">
        <v>51</v>
      </c>
      <c r="F437" s="71" t="s">
        <v>906</v>
      </c>
      <c r="G437" s="62"/>
      <c r="H437" s="62"/>
      <c r="I437" s="58"/>
      <c r="J437" s="58"/>
      <c r="K437" s="58"/>
      <c r="L437" s="58"/>
      <c r="M437" s="58"/>
      <c r="N437" s="8"/>
    </row>
    <row r="438" ht="15.75" customHeight="1">
      <c r="A438" s="82" t="s">
        <v>907</v>
      </c>
      <c r="B438" s="83">
        <v>45945.958333333336</v>
      </c>
      <c r="C438" s="71" t="s">
        <v>821</v>
      </c>
      <c r="D438" s="71" t="s">
        <v>908</v>
      </c>
      <c r="E438" s="68" t="s">
        <v>51</v>
      </c>
      <c r="F438" s="71" t="s">
        <v>906</v>
      </c>
      <c r="G438" s="62"/>
      <c r="H438" s="62"/>
      <c r="I438" s="58"/>
      <c r="J438" s="58"/>
      <c r="K438" s="58"/>
      <c r="L438" s="58"/>
      <c r="M438" s="58"/>
      <c r="N438" s="8"/>
    </row>
    <row r="439" ht="15.75" customHeight="1">
      <c r="A439" s="82" t="s">
        <v>909</v>
      </c>
      <c r="B439" s="83">
        <v>45945.5</v>
      </c>
      <c r="C439" s="71" t="s">
        <v>800</v>
      </c>
      <c r="D439" s="71" t="s">
        <v>910</v>
      </c>
      <c r="E439" s="68" t="s">
        <v>51</v>
      </c>
      <c r="F439" s="71" t="s">
        <v>911</v>
      </c>
      <c r="G439" s="62"/>
      <c r="H439" s="62"/>
      <c r="I439" s="58"/>
      <c r="J439" s="58"/>
      <c r="K439" s="58"/>
      <c r="L439" s="58"/>
      <c r="M439" s="58"/>
      <c r="N439" s="8"/>
    </row>
    <row r="440" ht="15.75" customHeight="1">
      <c r="A440" s="82" t="s">
        <v>78</v>
      </c>
      <c r="B440" s="83">
        <v>45945.958333333336</v>
      </c>
      <c r="C440" s="71" t="s">
        <v>180</v>
      </c>
      <c r="D440" s="71" t="s">
        <v>912</v>
      </c>
      <c r="E440" s="68" t="s">
        <v>51</v>
      </c>
      <c r="F440" s="71" t="s">
        <v>912</v>
      </c>
      <c r="G440" s="62"/>
      <c r="H440" s="62"/>
      <c r="I440" s="58"/>
      <c r="J440" s="58"/>
      <c r="K440" s="58"/>
      <c r="L440" s="58"/>
      <c r="M440" s="58"/>
      <c r="N440" s="8"/>
    </row>
    <row r="441" ht="15.75" customHeight="1">
      <c r="A441" s="82" t="s">
        <v>913</v>
      </c>
      <c r="B441" s="83">
        <v>45946.958333333336</v>
      </c>
      <c r="C441" s="71" t="s">
        <v>914</v>
      </c>
      <c r="D441" s="71" t="s">
        <v>915</v>
      </c>
      <c r="E441" s="68" t="s">
        <v>51</v>
      </c>
      <c r="F441" s="71" t="s">
        <v>916</v>
      </c>
      <c r="G441" s="62"/>
      <c r="H441" s="62"/>
      <c r="I441" s="58"/>
      <c r="J441" s="58"/>
      <c r="K441" s="58"/>
      <c r="L441" s="58"/>
      <c r="M441" s="58"/>
      <c r="N441" s="8"/>
    </row>
    <row r="442" ht="15.75" customHeight="1">
      <c r="A442" s="82" t="s">
        <v>917</v>
      </c>
      <c r="B442" s="83">
        <v>45946.5625</v>
      </c>
      <c r="C442" s="71" t="s">
        <v>918</v>
      </c>
      <c r="D442" s="71" t="s">
        <v>919</v>
      </c>
      <c r="E442" s="68" t="s">
        <v>51</v>
      </c>
      <c r="F442" s="71" t="s">
        <v>920</v>
      </c>
      <c r="G442" s="62"/>
      <c r="H442" s="62"/>
      <c r="I442" s="58"/>
      <c r="J442" s="58"/>
      <c r="K442" s="58"/>
      <c r="L442" s="58"/>
      <c r="M442" s="58"/>
      <c r="N442" s="8"/>
    </row>
    <row r="443" ht="15.75" customHeight="1">
      <c r="A443" s="82" t="s">
        <v>921</v>
      </c>
      <c r="B443" s="83">
        <v>45946.916666666664</v>
      </c>
      <c r="C443" s="71" t="s">
        <v>180</v>
      </c>
      <c r="D443" s="71" t="s">
        <v>922</v>
      </c>
      <c r="E443" s="68" t="s">
        <v>51</v>
      </c>
      <c r="F443" s="71" t="s">
        <v>923</v>
      </c>
      <c r="G443" s="62"/>
      <c r="H443" s="62"/>
      <c r="I443" s="58"/>
      <c r="J443" s="58"/>
      <c r="K443" s="58"/>
      <c r="L443" s="58"/>
      <c r="M443" s="58"/>
      <c r="N443" s="8"/>
    </row>
    <row r="444" ht="15.75" customHeight="1">
      <c r="A444" s="82" t="s">
        <v>742</v>
      </c>
      <c r="B444" s="83">
        <v>45946.958333333336</v>
      </c>
      <c r="C444" s="71" t="s">
        <v>175</v>
      </c>
      <c r="D444" s="71" t="s">
        <v>884</v>
      </c>
      <c r="E444" s="68" t="s">
        <v>51</v>
      </c>
      <c r="F444" s="71" t="s">
        <v>838</v>
      </c>
      <c r="G444" s="62"/>
      <c r="H444" s="62"/>
      <c r="I444" s="58"/>
      <c r="J444" s="58"/>
      <c r="K444" s="58"/>
      <c r="L444" s="58"/>
      <c r="M444" s="58"/>
      <c r="N444" s="8"/>
    </row>
    <row r="445" ht="15.75" customHeight="1">
      <c r="A445" s="82" t="s">
        <v>924</v>
      </c>
      <c r="B445" s="83">
        <v>45947.75</v>
      </c>
      <c r="C445" s="71" t="s">
        <v>175</v>
      </c>
      <c r="D445" s="71" t="s">
        <v>652</v>
      </c>
      <c r="E445" s="68" t="s">
        <v>51</v>
      </c>
      <c r="F445" s="71" t="s">
        <v>925</v>
      </c>
      <c r="G445" s="62"/>
      <c r="H445" s="62"/>
      <c r="I445" s="58"/>
      <c r="J445" s="58"/>
      <c r="K445" s="58"/>
      <c r="L445" s="58"/>
      <c r="M445" s="58"/>
      <c r="N445" s="8"/>
    </row>
    <row r="446" ht="15.75" customHeight="1">
      <c r="A446" s="82" t="s">
        <v>926</v>
      </c>
      <c r="B446" s="83">
        <v>45948.75</v>
      </c>
      <c r="C446" s="71" t="s">
        <v>155</v>
      </c>
      <c r="D446" s="71" t="s">
        <v>927</v>
      </c>
      <c r="E446" s="68" t="s">
        <v>51</v>
      </c>
      <c r="F446" s="71" t="s">
        <v>928</v>
      </c>
      <c r="G446" s="62"/>
      <c r="H446" s="62"/>
      <c r="I446" s="58"/>
      <c r="J446" s="58"/>
      <c r="K446" s="58"/>
      <c r="L446" s="58"/>
      <c r="M446" s="58"/>
      <c r="N446" s="8"/>
    </row>
    <row r="447" ht="15.75" customHeight="1">
      <c r="A447" s="82" t="s">
        <v>881</v>
      </c>
      <c r="B447" s="83">
        <v>45951.75</v>
      </c>
      <c r="C447" s="71" t="s">
        <v>327</v>
      </c>
      <c r="D447" s="71" t="s">
        <v>377</v>
      </c>
      <c r="E447" s="68" t="s">
        <v>51</v>
      </c>
      <c r="F447" s="71" t="s">
        <v>888</v>
      </c>
      <c r="G447" s="62"/>
      <c r="H447" s="62"/>
      <c r="I447" s="58"/>
      <c r="J447" s="58"/>
      <c r="K447" s="58"/>
      <c r="L447" s="58"/>
      <c r="M447" s="58"/>
      <c r="N447" s="8"/>
    </row>
    <row r="448" ht="15.75" customHeight="1">
      <c r="A448" s="82" t="s">
        <v>929</v>
      </c>
      <c r="B448" s="83">
        <v>45951.958333333336</v>
      </c>
      <c r="C448" s="71" t="s">
        <v>180</v>
      </c>
      <c r="D448" s="71" t="s">
        <v>930</v>
      </c>
      <c r="E448" s="68" t="s">
        <v>51</v>
      </c>
      <c r="F448" s="71" t="s">
        <v>931</v>
      </c>
      <c r="G448" s="62"/>
      <c r="H448" s="62"/>
      <c r="I448" s="58"/>
      <c r="J448" s="58"/>
      <c r="K448" s="58"/>
      <c r="L448" s="58"/>
      <c r="M448" s="58"/>
      <c r="N448" s="8"/>
    </row>
    <row r="449" ht="15.75" customHeight="1">
      <c r="A449" s="82" t="s">
        <v>932</v>
      </c>
      <c r="B449" s="83">
        <v>45952.958333333336</v>
      </c>
      <c r="C449" s="71" t="s">
        <v>821</v>
      </c>
      <c r="D449" s="71" t="s">
        <v>933</v>
      </c>
      <c r="E449" s="68" t="s">
        <v>51</v>
      </c>
      <c r="F449" s="71" t="s">
        <v>934</v>
      </c>
      <c r="G449" s="62"/>
      <c r="H449" s="62"/>
      <c r="I449" s="58"/>
      <c r="J449" s="58"/>
      <c r="K449" s="58"/>
      <c r="L449" s="58"/>
      <c r="M449" s="58"/>
      <c r="N449" s="8"/>
    </row>
    <row r="450" ht="15.75" customHeight="1">
      <c r="A450" s="82" t="s">
        <v>935</v>
      </c>
      <c r="B450" s="83">
        <v>45952.958333333336</v>
      </c>
      <c r="C450" s="71" t="s">
        <v>252</v>
      </c>
      <c r="D450" s="71" t="s">
        <v>936</v>
      </c>
      <c r="E450" s="68" t="s">
        <v>51</v>
      </c>
      <c r="F450" s="71" t="s">
        <v>936</v>
      </c>
      <c r="G450" s="62"/>
      <c r="H450" s="62"/>
      <c r="I450" s="58"/>
      <c r="J450" s="58"/>
      <c r="K450" s="58"/>
      <c r="L450" s="58"/>
      <c r="M450" s="58"/>
      <c r="N450" s="8"/>
    </row>
    <row r="451" ht="15.75" customHeight="1">
      <c r="A451" s="82" t="s">
        <v>937</v>
      </c>
      <c r="B451" s="83">
        <v>45952.958333333336</v>
      </c>
      <c r="C451" s="71" t="s">
        <v>180</v>
      </c>
      <c r="D451" s="71" t="s">
        <v>938</v>
      </c>
      <c r="E451" s="68" t="s">
        <v>51</v>
      </c>
      <c r="F451" s="71" t="s">
        <v>939</v>
      </c>
      <c r="G451" s="62"/>
      <c r="H451" s="62"/>
      <c r="I451" s="58"/>
      <c r="J451" s="58"/>
      <c r="K451" s="58"/>
      <c r="L451" s="58"/>
      <c r="M451" s="58"/>
      <c r="N451" s="8"/>
    </row>
    <row r="452" ht="15.75" customHeight="1">
      <c r="A452" s="86" t="s">
        <v>940</v>
      </c>
      <c r="B452" s="87">
        <v>45953.75</v>
      </c>
      <c r="C452" s="88" t="s">
        <v>155</v>
      </c>
      <c r="D452" s="89" t="s">
        <v>941</v>
      </c>
      <c r="E452" s="90" t="s">
        <v>51</v>
      </c>
      <c r="F452" s="91" t="s">
        <v>942</v>
      </c>
      <c r="G452" s="62"/>
      <c r="H452" s="62"/>
      <c r="I452" s="58"/>
      <c r="J452" s="58"/>
      <c r="K452" s="58"/>
      <c r="L452" s="58"/>
      <c r="M452" s="58"/>
      <c r="N452" s="8"/>
    </row>
    <row r="453" ht="15.75" customHeight="1">
      <c r="A453" s="86" t="s">
        <v>943</v>
      </c>
      <c r="B453" s="87">
        <v>45953.541666666664</v>
      </c>
      <c r="C453" s="88" t="s">
        <v>175</v>
      </c>
      <c r="D453" s="89" t="s">
        <v>944</v>
      </c>
      <c r="E453" s="90" t="s">
        <v>51</v>
      </c>
      <c r="F453" s="91" t="s">
        <v>945</v>
      </c>
      <c r="G453" s="62"/>
      <c r="H453" s="62"/>
      <c r="I453" s="58"/>
      <c r="J453" s="58"/>
      <c r="K453" s="58"/>
      <c r="L453" s="58"/>
      <c r="M453" s="58"/>
      <c r="N453" s="8"/>
    </row>
    <row r="454" ht="15.75" customHeight="1">
      <c r="A454" s="86" t="s">
        <v>946</v>
      </c>
      <c r="B454" s="87">
        <v>45953.541666666664</v>
      </c>
      <c r="C454" s="88" t="s">
        <v>252</v>
      </c>
      <c r="D454" s="89" t="s">
        <v>947</v>
      </c>
      <c r="E454" s="90" t="s">
        <v>51</v>
      </c>
      <c r="F454" s="91" t="s">
        <v>948</v>
      </c>
      <c r="G454" s="62"/>
      <c r="H454" s="62"/>
      <c r="I454" s="58"/>
      <c r="J454" s="58"/>
      <c r="K454" s="58"/>
      <c r="L454" s="58"/>
      <c r="M454" s="58"/>
      <c r="N454" s="8"/>
    </row>
    <row r="455" ht="15.75" customHeight="1">
      <c r="A455" s="86" t="s">
        <v>266</v>
      </c>
      <c r="B455" s="87">
        <v>45953.479166666664</v>
      </c>
      <c r="C455" s="88" t="s">
        <v>949</v>
      </c>
      <c r="D455" s="89" t="s">
        <v>950</v>
      </c>
      <c r="E455" s="90" t="s">
        <v>51</v>
      </c>
      <c r="F455" s="91" t="s">
        <v>951</v>
      </c>
      <c r="G455" s="62"/>
      <c r="H455" s="62"/>
      <c r="I455" s="58"/>
      <c r="J455" s="58"/>
      <c r="K455" s="58"/>
      <c r="L455" s="58"/>
      <c r="M455" s="58"/>
      <c r="N455" s="8"/>
    </row>
    <row r="456" ht="15.75" customHeight="1">
      <c r="A456" s="86" t="s">
        <v>952</v>
      </c>
      <c r="B456" s="87">
        <v>45953.5</v>
      </c>
      <c r="C456" s="88" t="s">
        <v>953</v>
      </c>
      <c r="D456" s="89" t="s">
        <v>954</v>
      </c>
      <c r="E456" s="90" t="s">
        <v>51</v>
      </c>
      <c r="F456" s="91" t="s">
        <v>955</v>
      </c>
      <c r="G456" s="62"/>
      <c r="H456" s="62"/>
      <c r="I456" s="58"/>
      <c r="J456" s="58"/>
      <c r="K456" s="58"/>
      <c r="L456" s="58"/>
      <c r="M456" s="58"/>
      <c r="N456" s="8"/>
    </row>
    <row r="457" ht="15.75" customHeight="1">
      <c r="A457" s="86" t="s">
        <v>877</v>
      </c>
      <c r="B457" s="87">
        <v>45953.583333333336</v>
      </c>
      <c r="C457" s="88" t="s">
        <v>878</v>
      </c>
      <c r="D457" s="89" t="s">
        <v>956</v>
      </c>
      <c r="E457" s="90" t="s">
        <v>51</v>
      </c>
      <c r="F457" s="91" t="s">
        <v>957</v>
      </c>
      <c r="G457" s="62"/>
      <c r="H457" s="62"/>
      <c r="I457" s="58"/>
      <c r="J457" s="58"/>
      <c r="K457" s="58"/>
      <c r="L457" s="58"/>
      <c r="M457" s="58"/>
      <c r="N457" s="8"/>
    </row>
    <row r="458" ht="15.75" customHeight="1">
      <c r="A458" s="86" t="s">
        <v>958</v>
      </c>
      <c r="B458" s="87">
        <v>45953.708333333336</v>
      </c>
      <c r="C458" s="88" t="s">
        <v>878</v>
      </c>
      <c r="D458" s="89" t="s">
        <v>959</v>
      </c>
      <c r="E458" s="90" t="s">
        <v>51</v>
      </c>
      <c r="F458" s="91" t="s">
        <v>960</v>
      </c>
      <c r="G458" s="62"/>
      <c r="H458" s="62"/>
      <c r="I458" s="58"/>
      <c r="J458" s="58"/>
      <c r="K458" s="58"/>
      <c r="L458" s="58"/>
      <c r="M458" s="58"/>
      <c r="N458" s="8"/>
    </row>
    <row r="459" ht="15.75" customHeight="1">
      <c r="A459" s="86" t="s">
        <v>881</v>
      </c>
      <c r="B459" s="87">
        <v>45953.666666666664</v>
      </c>
      <c r="C459" s="88" t="s">
        <v>961</v>
      </c>
      <c r="D459" s="89" t="s">
        <v>962</v>
      </c>
      <c r="E459" s="90" t="s">
        <v>51</v>
      </c>
      <c r="F459" s="91" t="s">
        <v>963</v>
      </c>
      <c r="G459" s="62"/>
      <c r="H459" s="62"/>
      <c r="I459" s="58"/>
      <c r="J459" s="58"/>
      <c r="K459" s="58"/>
      <c r="L459" s="58"/>
      <c r="M459" s="58"/>
      <c r="N459" s="8"/>
    </row>
    <row r="460" ht="15.75" customHeight="1">
      <c r="A460" s="86" t="s">
        <v>964</v>
      </c>
      <c r="B460" s="87">
        <v>45954.583333333336</v>
      </c>
      <c r="C460" s="88" t="s">
        <v>180</v>
      </c>
      <c r="D460" s="89" t="s">
        <v>965</v>
      </c>
      <c r="E460" s="90" t="s">
        <v>51</v>
      </c>
      <c r="F460" s="91" t="s">
        <v>966</v>
      </c>
      <c r="G460" s="62"/>
      <c r="H460" s="62"/>
      <c r="I460" s="58"/>
      <c r="J460" s="58"/>
      <c r="K460" s="58"/>
      <c r="L460" s="58"/>
      <c r="M460" s="58"/>
      <c r="N460" s="8"/>
    </row>
    <row r="461" ht="15.75" customHeight="1">
      <c r="A461" s="86" t="s">
        <v>967</v>
      </c>
      <c r="B461" s="87">
        <v>45954.541666666664</v>
      </c>
      <c r="C461" s="88" t="s">
        <v>968</v>
      </c>
      <c r="D461" s="89" t="s">
        <v>969</v>
      </c>
      <c r="E461" s="90" t="s">
        <v>51</v>
      </c>
      <c r="F461" s="91" t="s">
        <v>942</v>
      </c>
      <c r="G461" s="62"/>
      <c r="H461" s="62"/>
      <c r="I461" s="58"/>
      <c r="J461" s="58"/>
      <c r="K461" s="58"/>
      <c r="L461" s="58"/>
      <c r="M461" s="58"/>
      <c r="N461" s="8"/>
    </row>
    <row r="462" ht="15.75" customHeight="1">
      <c r="A462" s="86" t="s">
        <v>266</v>
      </c>
      <c r="B462" s="87">
        <v>45954.416666666664</v>
      </c>
      <c r="C462" s="88" t="s">
        <v>949</v>
      </c>
      <c r="D462" s="89" t="s">
        <v>950</v>
      </c>
      <c r="E462" s="90" t="s">
        <v>51</v>
      </c>
      <c r="F462" s="91" t="s">
        <v>951</v>
      </c>
      <c r="G462" s="62"/>
      <c r="H462" s="62"/>
      <c r="I462" s="58"/>
      <c r="J462" s="58"/>
      <c r="K462" s="58"/>
      <c r="L462" s="58"/>
      <c r="M462" s="58"/>
      <c r="N462" s="8"/>
    </row>
    <row r="463" ht="15.75" customHeight="1">
      <c r="A463" s="86" t="s">
        <v>970</v>
      </c>
      <c r="B463" s="87">
        <v>45954.5</v>
      </c>
      <c r="C463" s="88" t="s">
        <v>953</v>
      </c>
      <c r="D463" s="89" t="s">
        <v>971</v>
      </c>
      <c r="E463" s="90" t="s">
        <v>51</v>
      </c>
      <c r="F463" s="91" t="s">
        <v>972</v>
      </c>
      <c r="G463" s="62"/>
      <c r="H463" s="62"/>
      <c r="I463" s="58"/>
      <c r="J463" s="58"/>
      <c r="K463" s="58"/>
      <c r="L463" s="58"/>
      <c r="M463" s="58"/>
      <c r="N463" s="8"/>
    </row>
    <row r="464" ht="15.75" customHeight="1">
      <c r="A464" s="86" t="s">
        <v>973</v>
      </c>
      <c r="B464" s="87">
        <v>45954.708333333336</v>
      </c>
      <c r="C464" s="88" t="s">
        <v>175</v>
      </c>
      <c r="D464" s="89" t="s">
        <v>974</v>
      </c>
      <c r="E464" s="90" t="s">
        <v>51</v>
      </c>
      <c r="F464" s="91" t="s">
        <v>975</v>
      </c>
      <c r="G464" s="62"/>
      <c r="H464" s="62"/>
      <c r="I464" s="58"/>
      <c r="J464" s="58"/>
      <c r="K464" s="58"/>
      <c r="L464" s="58"/>
      <c r="M464" s="58"/>
      <c r="N464" s="8"/>
    </row>
    <row r="465" ht="15.75" customHeight="1">
      <c r="A465" s="86" t="s">
        <v>976</v>
      </c>
      <c r="B465" s="87">
        <v>45954.625</v>
      </c>
      <c r="C465" s="88" t="s">
        <v>968</v>
      </c>
      <c r="D465" s="89" t="s">
        <v>977</v>
      </c>
      <c r="E465" s="90" t="s">
        <v>51</v>
      </c>
      <c r="F465" s="91" t="s">
        <v>978</v>
      </c>
      <c r="G465" s="62"/>
      <c r="H465" s="62"/>
      <c r="I465" s="58"/>
      <c r="J465" s="58"/>
      <c r="K465" s="58"/>
      <c r="L465" s="58"/>
      <c r="M465" s="58"/>
      <c r="N465" s="8"/>
    </row>
    <row r="466" ht="15.75" customHeight="1">
      <c r="A466" s="86" t="s">
        <v>220</v>
      </c>
      <c r="B466" s="87">
        <v>45957.75</v>
      </c>
      <c r="C466" s="88" t="s">
        <v>979</v>
      </c>
      <c r="D466" s="89" t="s">
        <v>980</v>
      </c>
      <c r="E466" s="90" t="s">
        <v>51</v>
      </c>
      <c r="F466" s="91" t="s">
        <v>981</v>
      </c>
      <c r="G466" s="62"/>
      <c r="H466" s="62"/>
      <c r="I466" s="58"/>
      <c r="J466" s="58"/>
      <c r="K466" s="58"/>
      <c r="L466" s="58"/>
      <c r="M466" s="58"/>
      <c r="N466" s="8"/>
    </row>
    <row r="467" ht="15.75" customHeight="1">
      <c r="A467" s="86" t="s">
        <v>982</v>
      </c>
      <c r="B467" s="87">
        <v>45957.958333333336</v>
      </c>
      <c r="C467" s="88" t="s">
        <v>175</v>
      </c>
      <c r="D467" s="89" t="s">
        <v>983</v>
      </c>
      <c r="E467" s="90" t="s">
        <v>51</v>
      </c>
      <c r="F467" s="91" t="s">
        <v>984</v>
      </c>
      <c r="G467" s="62"/>
      <c r="H467" s="62"/>
      <c r="I467" s="58"/>
      <c r="J467" s="58"/>
      <c r="K467" s="58"/>
      <c r="L467" s="58"/>
      <c r="M467" s="58"/>
      <c r="N467" s="8"/>
    </row>
    <row r="468" ht="15.75" customHeight="1">
      <c r="A468" s="86" t="s">
        <v>985</v>
      </c>
      <c r="B468" s="87">
        <v>45957.75</v>
      </c>
      <c r="C468" s="88" t="s">
        <v>252</v>
      </c>
      <c r="D468" s="89" t="s">
        <v>986</v>
      </c>
      <c r="E468" s="90" t="s">
        <v>51</v>
      </c>
      <c r="F468" s="91" t="s">
        <v>987</v>
      </c>
      <c r="G468" s="62"/>
      <c r="H468" s="62"/>
      <c r="I468" s="58"/>
      <c r="J468" s="58"/>
      <c r="K468" s="58"/>
      <c r="L468" s="58"/>
      <c r="M468" s="58"/>
      <c r="N468" s="8"/>
    </row>
    <row r="469" ht="15.75" customHeight="1">
      <c r="A469" s="86" t="s">
        <v>988</v>
      </c>
      <c r="B469" s="87">
        <v>45957.479166666664</v>
      </c>
      <c r="C469" s="88" t="s">
        <v>949</v>
      </c>
      <c r="D469" s="89" t="s">
        <v>989</v>
      </c>
      <c r="E469" s="90" t="s">
        <v>51</v>
      </c>
      <c r="F469" s="91" t="s">
        <v>990</v>
      </c>
      <c r="G469" s="62"/>
      <c r="H469" s="62"/>
      <c r="I469" s="58"/>
      <c r="J469" s="58"/>
      <c r="K469" s="58"/>
      <c r="L469" s="58"/>
      <c r="M469" s="58"/>
      <c r="N469" s="8"/>
    </row>
    <row r="470" ht="15.75" customHeight="1">
      <c r="A470" s="86" t="s">
        <v>266</v>
      </c>
      <c r="B470" s="87">
        <v>45957.458333333336</v>
      </c>
      <c r="C470" s="88" t="s">
        <v>961</v>
      </c>
      <c r="D470" s="89" t="s">
        <v>950</v>
      </c>
      <c r="E470" s="90" t="s">
        <v>51</v>
      </c>
      <c r="F470" s="91" t="s">
        <v>951</v>
      </c>
      <c r="G470" s="62"/>
      <c r="H470" s="62"/>
      <c r="I470" s="58"/>
      <c r="J470" s="58"/>
      <c r="K470" s="58"/>
      <c r="L470" s="58"/>
      <c r="M470" s="58"/>
      <c r="N470" s="8"/>
    </row>
    <row r="471" ht="15.75" customHeight="1">
      <c r="A471" s="86" t="s">
        <v>991</v>
      </c>
      <c r="B471" s="87">
        <v>45957.708333333336</v>
      </c>
      <c r="C471" s="88" t="s">
        <v>961</v>
      </c>
      <c r="D471" s="89" t="s">
        <v>992</v>
      </c>
      <c r="E471" s="90" t="s">
        <v>51</v>
      </c>
      <c r="F471" s="91" t="s">
        <v>993</v>
      </c>
      <c r="G471" s="62"/>
      <c r="H471" s="62"/>
      <c r="I471" s="58"/>
      <c r="J471" s="58"/>
      <c r="K471" s="58"/>
      <c r="L471" s="58"/>
      <c r="M471" s="58"/>
      <c r="N471" s="8"/>
    </row>
    <row r="472" ht="15.75" customHeight="1">
      <c r="A472" s="86" t="s">
        <v>994</v>
      </c>
      <c r="B472" s="87">
        <v>45957.666666666664</v>
      </c>
      <c r="C472" s="88" t="s">
        <v>968</v>
      </c>
      <c r="D472" s="89" t="s">
        <v>995</v>
      </c>
      <c r="E472" s="90" t="s">
        <v>51</v>
      </c>
      <c r="F472" s="91" t="s">
        <v>996</v>
      </c>
      <c r="G472" s="62"/>
      <c r="H472" s="62"/>
      <c r="I472" s="58"/>
      <c r="J472" s="58"/>
      <c r="K472" s="58"/>
      <c r="L472" s="58"/>
      <c r="M472" s="58"/>
      <c r="N472" s="8"/>
    </row>
    <row r="473" ht="15.75" customHeight="1">
      <c r="A473" s="86" t="s">
        <v>266</v>
      </c>
      <c r="B473" s="87">
        <v>45957.666666666664</v>
      </c>
      <c r="C473" s="88" t="s">
        <v>949</v>
      </c>
      <c r="D473" s="89" t="s">
        <v>950</v>
      </c>
      <c r="E473" s="90" t="s">
        <v>51</v>
      </c>
      <c r="F473" s="91" t="s">
        <v>951</v>
      </c>
      <c r="G473" s="62"/>
      <c r="H473" s="62"/>
      <c r="I473" s="58"/>
      <c r="J473" s="58"/>
      <c r="K473" s="58"/>
      <c r="L473" s="58"/>
      <c r="M473" s="58"/>
      <c r="N473" s="8"/>
    </row>
    <row r="474" ht="15.75" customHeight="1">
      <c r="A474" s="86" t="s">
        <v>997</v>
      </c>
      <c r="B474" s="87">
        <v>45957.958333333336</v>
      </c>
      <c r="C474" s="88" t="s">
        <v>180</v>
      </c>
      <c r="D474" s="89" t="s">
        <v>998</v>
      </c>
      <c r="E474" s="90" t="s">
        <v>51</v>
      </c>
      <c r="F474" s="91" t="s">
        <v>999</v>
      </c>
      <c r="G474" s="62"/>
      <c r="H474" s="62"/>
      <c r="I474" s="58"/>
      <c r="J474" s="58"/>
      <c r="K474" s="58"/>
      <c r="L474" s="58"/>
      <c r="M474" s="58"/>
      <c r="N474" s="8"/>
    </row>
    <row r="475" ht="15.75" customHeight="1">
      <c r="A475" s="86" t="s">
        <v>776</v>
      </c>
      <c r="B475" s="87">
        <v>45957.958333333336</v>
      </c>
      <c r="C475" s="88" t="s">
        <v>252</v>
      </c>
      <c r="D475" s="89" t="s">
        <v>1000</v>
      </c>
      <c r="E475" s="90" t="s">
        <v>51</v>
      </c>
      <c r="F475" s="91" t="s">
        <v>1001</v>
      </c>
      <c r="G475" s="62"/>
      <c r="H475" s="62"/>
      <c r="I475" s="58"/>
      <c r="J475" s="58"/>
      <c r="K475" s="58"/>
      <c r="L475" s="58"/>
      <c r="M475" s="58"/>
      <c r="N475" s="8"/>
    </row>
    <row r="476" ht="15.75" customHeight="1">
      <c r="A476" s="86" t="s">
        <v>1002</v>
      </c>
      <c r="B476" s="87">
        <v>45958.75</v>
      </c>
      <c r="C476" s="88" t="s">
        <v>252</v>
      </c>
      <c r="D476" s="89" t="s">
        <v>1000</v>
      </c>
      <c r="E476" s="90" t="s">
        <v>51</v>
      </c>
      <c r="F476" s="91" t="s">
        <v>1001</v>
      </c>
      <c r="G476" s="62"/>
      <c r="H476" s="62"/>
      <c r="I476" s="58"/>
      <c r="J476" s="58"/>
      <c r="K476" s="58"/>
      <c r="L476" s="58"/>
      <c r="M476" s="58"/>
      <c r="N476" s="8"/>
    </row>
    <row r="477" ht="15.75" customHeight="1">
      <c r="A477" s="86" t="s">
        <v>1003</v>
      </c>
      <c r="B477" s="87">
        <v>45958.666666666664</v>
      </c>
      <c r="C477" s="88" t="s">
        <v>979</v>
      </c>
      <c r="D477" s="89" t="s">
        <v>1004</v>
      </c>
      <c r="E477" s="90" t="s">
        <v>51</v>
      </c>
      <c r="F477" s="91" t="s">
        <v>1005</v>
      </c>
      <c r="G477" s="62"/>
      <c r="H477" s="62"/>
      <c r="I477" s="58"/>
      <c r="J477" s="58"/>
      <c r="K477" s="58"/>
      <c r="L477" s="58"/>
      <c r="M477" s="58"/>
      <c r="N477" s="8"/>
    </row>
    <row r="478" ht="15.75" customHeight="1">
      <c r="A478" s="86" t="s">
        <v>1006</v>
      </c>
      <c r="B478" s="87">
        <v>45958.625</v>
      </c>
      <c r="C478" s="88" t="s">
        <v>968</v>
      </c>
      <c r="D478" s="89" t="s">
        <v>954</v>
      </c>
      <c r="E478" s="90" t="s">
        <v>51</v>
      </c>
      <c r="F478" s="91" t="s">
        <v>955</v>
      </c>
      <c r="G478" s="62"/>
      <c r="H478" s="62"/>
      <c r="I478" s="58"/>
      <c r="J478" s="58"/>
      <c r="K478" s="58"/>
      <c r="L478" s="58"/>
      <c r="M478" s="58"/>
      <c r="N478" s="8"/>
    </row>
    <row r="479" ht="15.75" customHeight="1">
      <c r="A479" s="86" t="s">
        <v>1007</v>
      </c>
      <c r="B479" s="87">
        <v>45958.75</v>
      </c>
      <c r="C479" s="88" t="s">
        <v>1008</v>
      </c>
      <c r="D479" s="89" t="s">
        <v>1009</v>
      </c>
      <c r="E479" s="90" t="s">
        <v>51</v>
      </c>
      <c r="F479" s="91" t="s">
        <v>1010</v>
      </c>
      <c r="G479" s="62"/>
      <c r="H479" s="62"/>
      <c r="I479" s="58"/>
      <c r="J479" s="58"/>
      <c r="K479" s="58"/>
      <c r="L479" s="58"/>
      <c r="M479" s="58"/>
      <c r="N479" s="8"/>
    </row>
    <row r="480" ht="15.75" customHeight="1">
      <c r="A480" s="86" t="s">
        <v>1006</v>
      </c>
      <c r="B480" s="87">
        <v>45958.708333333336</v>
      </c>
      <c r="C480" s="88" t="s">
        <v>968</v>
      </c>
      <c r="D480" s="89" t="s">
        <v>954</v>
      </c>
      <c r="E480" s="90" t="s">
        <v>51</v>
      </c>
      <c r="F480" s="91" t="s">
        <v>955</v>
      </c>
      <c r="G480" s="62"/>
      <c r="H480" s="62"/>
      <c r="I480" s="58"/>
      <c r="J480" s="58"/>
      <c r="K480" s="58"/>
      <c r="L480" s="58"/>
      <c r="M480" s="58"/>
      <c r="N480" s="8"/>
    </row>
    <row r="481" ht="15.75" customHeight="1">
      <c r="A481" s="86" t="s">
        <v>1011</v>
      </c>
      <c r="B481" s="87">
        <v>45959.75</v>
      </c>
      <c r="C481" s="88" t="s">
        <v>1012</v>
      </c>
      <c r="D481" s="89" t="s">
        <v>1013</v>
      </c>
      <c r="E481" s="90" t="s">
        <v>51</v>
      </c>
      <c r="F481" s="91" t="s">
        <v>1014</v>
      </c>
      <c r="G481" s="62"/>
      <c r="H481" s="62"/>
      <c r="I481" s="58"/>
      <c r="J481" s="58"/>
      <c r="K481" s="58"/>
      <c r="L481" s="58"/>
      <c r="M481" s="58"/>
      <c r="N481" s="8"/>
    </row>
    <row r="482" ht="15.75" customHeight="1">
      <c r="A482" s="86" t="s">
        <v>1015</v>
      </c>
      <c r="B482" s="87">
        <v>45959.958333333336</v>
      </c>
      <c r="C482" s="88" t="s">
        <v>851</v>
      </c>
      <c r="D482" s="89" t="s">
        <v>1016</v>
      </c>
      <c r="E482" s="90" t="s">
        <v>51</v>
      </c>
      <c r="F482" s="91" t="s">
        <v>1017</v>
      </c>
      <c r="G482" s="62"/>
      <c r="H482" s="62"/>
      <c r="I482" s="58"/>
      <c r="J482" s="58"/>
      <c r="K482" s="58"/>
      <c r="L482" s="58"/>
      <c r="M482" s="58"/>
      <c r="N482" s="8"/>
    </row>
    <row r="483" ht="15.75" customHeight="1">
      <c r="A483" s="86" t="s">
        <v>190</v>
      </c>
      <c r="B483" s="87">
        <v>45959.75</v>
      </c>
      <c r="C483" s="88" t="s">
        <v>186</v>
      </c>
      <c r="D483" s="89" t="s">
        <v>1018</v>
      </c>
      <c r="E483" s="90" t="s">
        <v>51</v>
      </c>
      <c r="F483" s="91" t="s">
        <v>1019</v>
      </c>
      <c r="G483" s="62"/>
      <c r="H483" s="62"/>
      <c r="I483" s="58"/>
      <c r="J483" s="58"/>
      <c r="K483" s="58"/>
      <c r="L483" s="58"/>
      <c r="M483" s="58"/>
      <c r="N483" s="8"/>
    </row>
    <row r="484" ht="15.75" customHeight="1">
      <c r="A484" s="86" t="s">
        <v>196</v>
      </c>
      <c r="B484" s="87">
        <v>45959.666666666664</v>
      </c>
      <c r="C484" s="88" t="s">
        <v>968</v>
      </c>
      <c r="D484" s="89" t="s">
        <v>1020</v>
      </c>
      <c r="E484" s="90" t="s">
        <v>51</v>
      </c>
      <c r="F484" s="91" t="s">
        <v>1021</v>
      </c>
      <c r="G484" s="62"/>
      <c r="H484" s="62"/>
      <c r="I484" s="58"/>
      <c r="J484" s="58"/>
      <c r="K484" s="58"/>
      <c r="L484" s="58"/>
      <c r="M484" s="58"/>
      <c r="N484" s="8"/>
    </row>
    <row r="485" ht="15.75" customHeight="1">
      <c r="A485" s="86" t="s">
        <v>1022</v>
      </c>
      <c r="B485" s="87">
        <v>45959.979166666664</v>
      </c>
      <c r="C485" s="88" t="s">
        <v>180</v>
      </c>
      <c r="D485" s="89" t="s">
        <v>1023</v>
      </c>
      <c r="E485" s="90" t="s">
        <v>51</v>
      </c>
      <c r="F485" s="91" t="s">
        <v>1024</v>
      </c>
      <c r="G485" s="62"/>
      <c r="H485" s="62"/>
      <c r="I485" s="58"/>
      <c r="J485" s="58"/>
      <c r="K485" s="58"/>
      <c r="L485" s="58"/>
      <c r="M485" s="58"/>
      <c r="N485" s="8"/>
    </row>
    <row r="486" ht="15.75" customHeight="1">
      <c r="A486" s="86" t="s">
        <v>1025</v>
      </c>
      <c r="B486" s="87">
        <v>45960.958333333336</v>
      </c>
      <c r="C486" s="88" t="s">
        <v>1026</v>
      </c>
      <c r="D486" s="89" t="s">
        <v>1027</v>
      </c>
      <c r="E486" s="90" t="s">
        <v>51</v>
      </c>
      <c r="F486" s="91" t="s">
        <v>1028</v>
      </c>
      <c r="G486" s="62"/>
      <c r="H486" s="62"/>
      <c r="I486" s="58"/>
      <c r="J486" s="58"/>
      <c r="K486" s="58"/>
      <c r="L486" s="58"/>
      <c r="M486" s="58"/>
      <c r="N486" s="8"/>
    </row>
    <row r="487" ht="15.75" customHeight="1">
      <c r="A487" s="86" t="s">
        <v>1029</v>
      </c>
      <c r="B487" s="87">
        <v>45960.75</v>
      </c>
      <c r="C487" s="88" t="s">
        <v>1030</v>
      </c>
      <c r="D487" s="89" t="s">
        <v>1027</v>
      </c>
      <c r="E487" s="90" t="s">
        <v>51</v>
      </c>
      <c r="F487" s="91" t="s">
        <v>1028</v>
      </c>
      <c r="G487" s="62"/>
      <c r="H487" s="62"/>
      <c r="I487" s="58"/>
      <c r="J487" s="58"/>
      <c r="K487" s="58"/>
      <c r="L487" s="58"/>
      <c r="M487" s="58"/>
      <c r="N487" s="8"/>
    </row>
    <row r="488" ht="15.75" customHeight="1">
      <c r="A488" s="86" t="s">
        <v>469</v>
      </c>
      <c r="B488" s="87">
        <v>45960.958333333336</v>
      </c>
      <c r="C488" s="88" t="s">
        <v>180</v>
      </c>
      <c r="D488" s="89" t="s">
        <v>1031</v>
      </c>
      <c r="E488" s="90" t="s">
        <v>51</v>
      </c>
      <c r="F488" s="91" t="s">
        <v>1032</v>
      </c>
      <c r="G488" s="62"/>
      <c r="H488" s="62"/>
      <c r="I488" s="58"/>
      <c r="J488" s="58"/>
      <c r="K488" s="58"/>
      <c r="L488" s="58"/>
      <c r="M488" s="58"/>
      <c r="N488" s="8"/>
    </row>
    <row r="489" ht="15.75" customHeight="1">
      <c r="A489" s="86" t="s">
        <v>49</v>
      </c>
      <c r="B489" s="87">
        <v>45960.5</v>
      </c>
      <c r="C489" s="88" t="s">
        <v>949</v>
      </c>
      <c r="D489" s="89" t="s">
        <v>1033</v>
      </c>
      <c r="E489" s="90" t="s">
        <v>51</v>
      </c>
      <c r="F489" s="91" t="s">
        <v>1034</v>
      </c>
      <c r="G489" s="62"/>
      <c r="H489" s="62"/>
      <c r="I489" s="58"/>
      <c r="J489" s="58"/>
      <c r="K489" s="58"/>
      <c r="L489" s="58"/>
      <c r="M489" s="58"/>
      <c r="N489" s="8"/>
    </row>
    <row r="490" ht="15.75" customHeight="1">
      <c r="A490" s="86" t="s">
        <v>1035</v>
      </c>
      <c r="B490" s="87">
        <v>45960.583333333336</v>
      </c>
      <c r="C490" s="88" t="s">
        <v>878</v>
      </c>
      <c r="D490" s="89" t="s">
        <v>1036</v>
      </c>
      <c r="E490" s="90" t="s">
        <v>51</v>
      </c>
      <c r="F490" s="91" t="s">
        <v>1037</v>
      </c>
      <c r="G490" s="62"/>
      <c r="H490" s="62"/>
      <c r="I490" s="58"/>
      <c r="J490" s="58"/>
      <c r="K490" s="58"/>
      <c r="L490" s="58"/>
      <c r="M490" s="58"/>
      <c r="N490" s="8"/>
    </row>
    <row r="491" ht="15.75" customHeight="1">
      <c r="A491" s="86" t="s">
        <v>1038</v>
      </c>
      <c r="B491" s="87">
        <v>45960.625</v>
      </c>
      <c r="C491" s="88" t="s">
        <v>949</v>
      </c>
      <c r="D491" s="89" t="s">
        <v>1039</v>
      </c>
      <c r="E491" s="90" t="s">
        <v>51</v>
      </c>
      <c r="F491" s="91" t="s">
        <v>1040</v>
      </c>
      <c r="G491" s="62"/>
      <c r="H491" s="62"/>
      <c r="I491" s="58"/>
      <c r="J491" s="58"/>
      <c r="K491" s="58"/>
      <c r="L491" s="58"/>
      <c r="M491" s="58"/>
      <c r="N491" s="8"/>
    </row>
    <row r="492" ht="15.75" customHeight="1">
      <c r="A492" s="86" t="s">
        <v>1041</v>
      </c>
      <c r="B492" s="87">
        <v>45960.625</v>
      </c>
      <c r="C492" s="88" t="s">
        <v>1008</v>
      </c>
      <c r="D492" s="89" t="s">
        <v>1042</v>
      </c>
      <c r="E492" s="90" t="s">
        <v>51</v>
      </c>
      <c r="F492" s="91" t="s">
        <v>1043</v>
      </c>
      <c r="G492" s="62"/>
      <c r="H492" s="62"/>
      <c r="I492" s="58"/>
      <c r="J492" s="58"/>
      <c r="K492" s="58"/>
      <c r="L492" s="58"/>
      <c r="M492" s="58"/>
      <c r="N492" s="8"/>
    </row>
    <row r="493" ht="15.75" customHeight="1">
      <c r="A493" s="86" t="s">
        <v>49</v>
      </c>
      <c r="B493" s="87">
        <v>45960.75</v>
      </c>
      <c r="C493" s="88" t="s">
        <v>979</v>
      </c>
      <c r="D493" s="89" t="s">
        <v>1033</v>
      </c>
      <c r="E493" s="90" t="s">
        <v>51</v>
      </c>
      <c r="F493" s="91" t="s">
        <v>1034</v>
      </c>
      <c r="G493" s="62"/>
      <c r="H493" s="62"/>
      <c r="I493" s="58"/>
      <c r="J493" s="58"/>
      <c r="K493" s="58"/>
      <c r="L493" s="58"/>
      <c r="M493" s="58"/>
      <c r="N493" s="8"/>
    </row>
    <row r="494" ht="15.75" customHeight="1">
      <c r="A494" s="86" t="s">
        <v>921</v>
      </c>
      <c r="B494" s="87">
        <v>45960.875</v>
      </c>
      <c r="C494" s="88" t="s">
        <v>186</v>
      </c>
      <c r="D494" s="89" t="s">
        <v>1044</v>
      </c>
      <c r="E494" s="90" t="s">
        <v>51</v>
      </c>
      <c r="F494" s="91" t="s">
        <v>1045</v>
      </c>
      <c r="G494" s="62"/>
      <c r="H494" s="62"/>
      <c r="I494" s="58"/>
      <c r="J494" s="58"/>
      <c r="K494" s="58"/>
      <c r="L494" s="58"/>
      <c r="M494" s="58"/>
      <c r="N494" s="8"/>
    </row>
    <row r="495" ht="15.75" customHeight="1">
      <c r="A495" s="86" t="s">
        <v>1046</v>
      </c>
      <c r="B495" s="87">
        <v>45960.958333333336</v>
      </c>
      <c r="C495" s="88" t="s">
        <v>252</v>
      </c>
      <c r="D495" s="89" t="s">
        <v>1047</v>
      </c>
      <c r="E495" s="90" t="s">
        <v>51</v>
      </c>
      <c r="F495" s="91" t="s">
        <v>1048</v>
      </c>
      <c r="G495" s="62"/>
      <c r="H495" s="62"/>
      <c r="I495" s="58"/>
      <c r="J495" s="58"/>
      <c r="K495" s="58"/>
      <c r="L495" s="58"/>
      <c r="M495" s="58"/>
      <c r="N495" s="8"/>
    </row>
    <row r="496" ht="15.75" customHeight="1">
      <c r="A496" s="86" t="s">
        <v>78</v>
      </c>
      <c r="B496" s="87">
        <v>45960.958333333336</v>
      </c>
      <c r="C496" s="88" t="s">
        <v>1049</v>
      </c>
      <c r="D496" s="89" t="s">
        <v>1047</v>
      </c>
      <c r="E496" s="90" t="s">
        <v>51</v>
      </c>
      <c r="F496" s="91" t="s">
        <v>1050</v>
      </c>
      <c r="G496" s="62"/>
      <c r="H496" s="62"/>
      <c r="I496" s="58"/>
      <c r="J496" s="58"/>
      <c r="K496" s="58"/>
      <c r="L496" s="58"/>
      <c r="M496" s="58"/>
      <c r="N496" s="8"/>
    </row>
    <row r="497" ht="15.75" customHeight="1">
      <c r="A497" s="86" t="s">
        <v>1051</v>
      </c>
      <c r="B497" s="87">
        <v>45961.541666666664</v>
      </c>
      <c r="C497" s="88" t="s">
        <v>175</v>
      </c>
      <c r="D497" s="89" t="s">
        <v>1044</v>
      </c>
      <c r="E497" s="90" t="s">
        <v>51</v>
      </c>
      <c r="F497" s="91" t="s">
        <v>1045</v>
      </c>
      <c r="G497" s="62"/>
      <c r="H497" s="62"/>
      <c r="I497" s="58"/>
      <c r="J497" s="58"/>
      <c r="K497" s="58"/>
      <c r="L497" s="58"/>
      <c r="M497" s="58"/>
      <c r="N497" s="8"/>
    </row>
    <row r="498" ht="15.75" customHeight="1">
      <c r="A498" s="86" t="s">
        <v>1052</v>
      </c>
      <c r="B498" s="87">
        <v>45961.958333333336</v>
      </c>
      <c r="C498" s="88" t="s">
        <v>851</v>
      </c>
      <c r="D498" s="89" t="s">
        <v>1053</v>
      </c>
      <c r="E498" s="90" t="s">
        <v>51</v>
      </c>
      <c r="F498" s="91" t="s">
        <v>1054</v>
      </c>
      <c r="G498" s="62"/>
      <c r="H498" s="62"/>
      <c r="I498" s="58"/>
      <c r="J498" s="58"/>
      <c r="K498" s="58"/>
      <c r="L498" s="58"/>
      <c r="M498" s="58"/>
      <c r="N498" s="8"/>
    </row>
    <row r="499" ht="15.75" customHeight="1">
      <c r="A499" s="86" t="s">
        <v>532</v>
      </c>
      <c r="B499" s="87">
        <v>45961.5</v>
      </c>
      <c r="C499" s="88" t="s">
        <v>180</v>
      </c>
      <c r="D499" s="89" t="s">
        <v>1055</v>
      </c>
      <c r="E499" s="90" t="s">
        <v>51</v>
      </c>
      <c r="F499" s="91" t="s">
        <v>1056</v>
      </c>
      <c r="G499" s="62"/>
      <c r="H499" s="62"/>
      <c r="I499" s="58"/>
      <c r="J499" s="58"/>
      <c r="K499" s="58"/>
      <c r="L499" s="58"/>
      <c r="M499" s="58"/>
      <c r="N499" s="8"/>
    </row>
    <row r="500" ht="15.75" customHeight="1">
      <c r="A500" s="86" t="s">
        <v>49</v>
      </c>
      <c r="B500" s="87">
        <v>45961.458333333336</v>
      </c>
      <c r="C500" s="88" t="s">
        <v>949</v>
      </c>
      <c r="D500" s="89" t="s">
        <v>1033</v>
      </c>
      <c r="E500" s="90" t="s">
        <v>51</v>
      </c>
      <c r="F500" s="91" t="s">
        <v>1034</v>
      </c>
      <c r="G500" s="62"/>
      <c r="H500" s="62"/>
      <c r="I500" s="58"/>
      <c r="J500" s="58"/>
      <c r="K500" s="58"/>
      <c r="L500" s="58"/>
      <c r="M500" s="58"/>
      <c r="N500" s="8"/>
    </row>
    <row r="501" ht="15.75" customHeight="1">
      <c r="A501" s="86" t="s">
        <v>1057</v>
      </c>
      <c r="B501" s="87">
        <v>45961.958333333336</v>
      </c>
      <c r="C501" s="88" t="s">
        <v>180</v>
      </c>
      <c r="D501" s="89" t="s">
        <v>1058</v>
      </c>
      <c r="E501" s="90" t="s">
        <v>51</v>
      </c>
      <c r="F501" s="91" t="s">
        <v>1059</v>
      </c>
      <c r="G501" s="62"/>
      <c r="H501" s="62"/>
      <c r="I501" s="58"/>
      <c r="J501" s="58"/>
      <c r="K501" s="58"/>
      <c r="L501" s="58"/>
      <c r="M501" s="58"/>
      <c r="N501" s="8"/>
    </row>
    <row r="502" ht="15.75" customHeight="1">
      <c r="A502" s="86" t="s">
        <v>1060</v>
      </c>
      <c r="B502" s="92" t="s">
        <v>1061</v>
      </c>
      <c r="C502" s="88" t="s">
        <v>252</v>
      </c>
      <c r="D502" s="89" t="s">
        <v>1062</v>
      </c>
      <c r="E502" s="90" t="s">
        <v>51</v>
      </c>
      <c r="F502" s="91" t="s">
        <v>1063</v>
      </c>
      <c r="G502" s="62"/>
      <c r="H502" s="62"/>
      <c r="I502" s="58"/>
      <c r="J502" s="58"/>
      <c r="K502" s="58"/>
      <c r="L502" s="58"/>
      <c r="M502" s="58"/>
      <c r="N502" s="8"/>
    </row>
    <row r="503" ht="15.75" customHeight="1">
      <c r="A503" s="86" t="s">
        <v>1064</v>
      </c>
      <c r="B503" s="87">
        <v>45962.958333333336</v>
      </c>
      <c r="C503" s="88" t="s">
        <v>180</v>
      </c>
      <c r="D503" s="89" t="s">
        <v>1065</v>
      </c>
      <c r="E503" s="90" t="s">
        <v>51</v>
      </c>
      <c r="F503" s="91" t="s">
        <v>1066</v>
      </c>
      <c r="G503" s="62"/>
      <c r="H503" s="62"/>
      <c r="I503" s="58"/>
      <c r="J503" s="58"/>
      <c r="K503" s="58"/>
      <c r="L503" s="58"/>
      <c r="M503" s="58"/>
      <c r="N503" s="8"/>
    </row>
    <row r="504" ht="15.75" customHeight="1">
      <c r="A504" s="86" t="s">
        <v>270</v>
      </c>
      <c r="B504" s="87">
        <v>45962.541666666664</v>
      </c>
      <c r="C504" s="88" t="s">
        <v>189</v>
      </c>
      <c r="D504" s="89" t="s">
        <v>1067</v>
      </c>
      <c r="E504" s="90" t="s">
        <v>51</v>
      </c>
      <c r="F504" s="91" t="s">
        <v>1068</v>
      </c>
      <c r="G504" s="62"/>
      <c r="H504" s="62"/>
      <c r="I504" s="58"/>
      <c r="J504" s="58"/>
      <c r="K504" s="58"/>
      <c r="L504" s="58"/>
      <c r="M504" s="58"/>
      <c r="N504" s="8"/>
    </row>
    <row r="505" ht="15.75" customHeight="1">
      <c r="A505" s="86" t="s">
        <v>1069</v>
      </c>
      <c r="B505" s="87">
        <v>45962.583333333336</v>
      </c>
      <c r="C505" s="88" t="s">
        <v>1008</v>
      </c>
      <c r="D505" s="89" t="s">
        <v>1070</v>
      </c>
      <c r="E505" s="90" t="s">
        <v>51</v>
      </c>
      <c r="F505" s="91" t="s">
        <v>1071</v>
      </c>
      <c r="G505" s="62"/>
      <c r="H505" s="62"/>
      <c r="I505" s="58"/>
      <c r="J505" s="58"/>
      <c r="K505" s="58"/>
      <c r="L505" s="58"/>
      <c r="M505" s="58"/>
      <c r="N505" s="8"/>
    </row>
    <row r="506" ht="15.75" customHeight="1">
      <c r="A506" s="93" t="s">
        <v>1072</v>
      </c>
      <c r="B506" s="94">
        <v>45962.0</v>
      </c>
      <c r="C506" s="88" t="s">
        <v>180</v>
      </c>
      <c r="D506" s="95" t="s">
        <v>1073</v>
      </c>
      <c r="E506" s="90" t="s">
        <v>51</v>
      </c>
      <c r="F506" s="96" t="s">
        <v>147</v>
      </c>
      <c r="G506" s="62"/>
      <c r="H506" s="62"/>
      <c r="I506" s="58"/>
      <c r="J506" s="58"/>
      <c r="K506" s="58"/>
      <c r="L506" s="58"/>
      <c r="M506" s="58"/>
      <c r="N506" s="8"/>
    </row>
    <row r="507" ht="15.75" customHeight="1">
      <c r="A507" s="86" t="s">
        <v>512</v>
      </c>
      <c r="B507" s="87">
        <v>45964.958333333336</v>
      </c>
      <c r="C507" s="88" t="s">
        <v>175</v>
      </c>
      <c r="D507" s="89" t="s">
        <v>977</v>
      </c>
      <c r="E507" s="90" t="s">
        <v>51</v>
      </c>
      <c r="F507" s="91" t="s">
        <v>978</v>
      </c>
      <c r="G507" s="62"/>
      <c r="H507" s="62"/>
      <c r="I507" s="58"/>
      <c r="J507" s="58"/>
      <c r="K507" s="58"/>
      <c r="L507" s="58"/>
      <c r="M507" s="58"/>
      <c r="N507" s="8"/>
    </row>
    <row r="508" ht="15.75" customHeight="1">
      <c r="A508" s="86" t="s">
        <v>1074</v>
      </c>
      <c r="B508" s="87">
        <v>45964.791666666664</v>
      </c>
      <c r="C508" s="88" t="s">
        <v>949</v>
      </c>
      <c r="D508" s="89" t="s">
        <v>1075</v>
      </c>
      <c r="E508" s="90" t="s">
        <v>51</v>
      </c>
      <c r="F508" s="91" t="s">
        <v>1076</v>
      </c>
      <c r="G508" s="62"/>
      <c r="H508" s="62"/>
      <c r="I508" s="58"/>
      <c r="J508" s="58"/>
      <c r="K508" s="58"/>
      <c r="L508" s="58"/>
      <c r="M508" s="58"/>
      <c r="N508" s="8"/>
    </row>
    <row r="509" ht="15.75" customHeight="1">
      <c r="A509" s="86" t="s">
        <v>1077</v>
      </c>
      <c r="B509" s="87">
        <v>45964.770833333336</v>
      </c>
      <c r="C509" s="88" t="s">
        <v>979</v>
      </c>
      <c r="D509" s="89" t="s">
        <v>1078</v>
      </c>
      <c r="E509" s="90" t="s">
        <v>51</v>
      </c>
      <c r="F509" s="91" t="s">
        <v>1079</v>
      </c>
      <c r="G509" s="62"/>
      <c r="H509" s="62"/>
      <c r="I509" s="58"/>
      <c r="J509" s="58"/>
      <c r="K509" s="58"/>
      <c r="L509" s="58"/>
      <c r="M509" s="58"/>
      <c r="N509" s="8"/>
    </row>
    <row r="510" ht="15.75" customHeight="1">
      <c r="A510" s="86" t="s">
        <v>1080</v>
      </c>
      <c r="B510" s="87">
        <v>45964.416666666664</v>
      </c>
      <c r="C510" s="88" t="s">
        <v>961</v>
      </c>
      <c r="D510" s="89" t="s">
        <v>992</v>
      </c>
      <c r="E510" s="90" t="s">
        <v>51</v>
      </c>
      <c r="F510" s="91" t="s">
        <v>993</v>
      </c>
      <c r="G510" s="62"/>
      <c r="H510" s="62"/>
      <c r="I510" s="58"/>
      <c r="J510" s="58"/>
      <c r="K510" s="58"/>
      <c r="L510" s="58"/>
      <c r="M510" s="58"/>
      <c r="N510" s="8"/>
    </row>
    <row r="511" ht="15.75" customHeight="1">
      <c r="A511" s="86" t="s">
        <v>266</v>
      </c>
      <c r="B511" s="87">
        <v>45964.541666666664</v>
      </c>
      <c r="C511" s="88" t="s">
        <v>1008</v>
      </c>
      <c r="D511" s="89" t="s">
        <v>950</v>
      </c>
      <c r="E511" s="90" t="s">
        <v>51</v>
      </c>
      <c r="F511" s="91" t="s">
        <v>951</v>
      </c>
      <c r="G511" s="62"/>
      <c r="H511" s="62"/>
      <c r="I511" s="58"/>
      <c r="J511" s="58"/>
      <c r="K511" s="58"/>
      <c r="L511" s="58"/>
      <c r="M511" s="58"/>
      <c r="N511" s="8"/>
    </row>
    <row r="512" ht="15.75" customHeight="1">
      <c r="A512" s="64" t="s">
        <v>1081</v>
      </c>
      <c r="B512" s="60">
        <v>46001.0</v>
      </c>
      <c r="C512" s="58" t="s">
        <v>1082</v>
      </c>
      <c r="D512" s="58" t="s">
        <v>1083</v>
      </c>
      <c r="E512" s="68" t="s">
        <v>51</v>
      </c>
      <c r="F512" s="97" t="s">
        <v>1084</v>
      </c>
      <c r="G512" s="62"/>
      <c r="H512" s="62"/>
      <c r="I512" s="58"/>
      <c r="J512" s="58"/>
      <c r="K512" s="58"/>
      <c r="L512" s="58"/>
      <c r="M512" s="58"/>
      <c r="N512" s="8"/>
    </row>
    <row r="513" ht="15.75" customHeight="1">
      <c r="A513" s="98" t="s">
        <v>742</v>
      </c>
      <c r="B513" s="87">
        <v>45964.958333333336</v>
      </c>
      <c r="C513" s="92" t="s">
        <v>252</v>
      </c>
      <c r="D513" s="89" t="s">
        <v>1085</v>
      </c>
      <c r="E513" s="90" t="s">
        <v>51</v>
      </c>
      <c r="F513" s="91" t="s">
        <v>153</v>
      </c>
      <c r="G513" s="62"/>
      <c r="H513" s="62"/>
      <c r="I513" s="58"/>
      <c r="J513" s="58"/>
      <c r="K513" s="58"/>
      <c r="L513" s="58"/>
      <c r="M513" s="58"/>
      <c r="N513" s="8"/>
    </row>
    <row r="514" ht="15.75" customHeight="1">
      <c r="A514" s="98" t="s">
        <v>1086</v>
      </c>
      <c r="B514" s="87">
        <v>45965.541666666664</v>
      </c>
      <c r="C514" s="92" t="s">
        <v>175</v>
      </c>
      <c r="D514" s="89" t="s">
        <v>1087</v>
      </c>
      <c r="E514" s="90" t="s">
        <v>51</v>
      </c>
      <c r="F514" s="91" t="s">
        <v>1088</v>
      </c>
      <c r="G514" s="62"/>
      <c r="H514" s="62"/>
      <c r="I514" s="58"/>
      <c r="J514" s="58"/>
      <c r="K514" s="58"/>
      <c r="L514" s="58"/>
      <c r="M514" s="58"/>
      <c r="N514" s="8"/>
    </row>
    <row r="515" ht="15.75" customHeight="1">
      <c r="A515" s="98" t="s">
        <v>778</v>
      </c>
      <c r="B515" s="87">
        <v>45965.541666666664</v>
      </c>
      <c r="C515" s="92" t="s">
        <v>155</v>
      </c>
      <c r="D515" s="89" t="s">
        <v>1089</v>
      </c>
      <c r="E515" s="90" t="s">
        <v>51</v>
      </c>
      <c r="F515" s="91" t="s">
        <v>1090</v>
      </c>
      <c r="G515" s="62"/>
      <c r="H515" s="62"/>
      <c r="I515" s="58"/>
      <c r="J515" s="58"/>
      <c r="K515" s="58"/>
      <c r="L515" s="58"/>
      <c r="M515" s="58"/>
      <c r="N515" s="8"/>
    </row>
    <row r="516" ht="15.75" customHeight="1">
      <c r="A516" s="98" t="s">
        <v>820</v>
      </c>
      <c r="B516" s="87">
        <v>45965.958333333336</v>
      </c>
      <c r="C516" s="92" t="s">
        <v>821</v>
      </c>
      <c r="D516" s="89" t="s">
        <v>1091</v>
      </c>
      <c r="E516" s="90" t="s">
        <v>51</v>
      </c>
      <c r="F516" s="91" t="s">
        <v>1092</v>
      </c>
      <c r="G516" s="62"/>
      <c r="H516" s="62"/>
      <c r="I516" s="58"/>
      <c r="J516" s="58"/>
      <c r="K516" s="58"/>
      <c r="L516" s="58"/>
      <c r="M516" s="58"/>
      <c r="N516" s="8"/>
    </row>
    <row r="517" ht="15.75" customHeight="1">
      <c r="A517" s="98" t="s">
        <v>1093</v>
      </c>
      <c r="B517" s="87">
        <v>45965.916666666664</v>
      </c>
      <c r="C517" s="92" t="s">
        <v>252</v>
      </c>
      <c r="D517" s="89" t="s">
        <v>1094</v>
      </c>
      <c r="E517" s="90" t="s">
        <v>51</v>
      </c>
      <c r="F517" s="91" t="s">
        <v>1095</v>
      </c>
      <c r="G517" s="62"/>
      <c r="H517" s="62"/>
      <c r="I517" s="58"/>
      <c r="J517" s="58"/>
      <c r="K517" s="58"/>
      <c r="L517" s="58"/>
      <c r="M517" s="58"/>
      <c r="N517" s="8"/>
    </row>
    <row r="518" ht="15.75" customHeight="1">
      <c r="A518" s="98" t="s">
        <v>512</v>
      </c>
      <c r="B518" s="87">
        <v>45965.958333333336</v>
      </c>
      <c r="C518" s="92" t="s">
        <v>175</v>
      </c>
      <c r="D518" s="89" t="s">
        <v>1096</v>
      </c>
      <c r="E518" s="90" t="s">
        <v>51</v>
      </c>
      <c r="F518" s="91" t="s">
        <v>377</v>
      </c>
      <c r="G518" s="62"/>
      <c r="H518" s="62"/>
      <c r="I518" s="58"/>
      <c r="J518" s="58"/>
      <c r="K518" s="58"/>
      <c r="L518" s="58"/>
      <c r="M518" s="58"/>
      <c r="N518" s="8"/>
    </row>
    <row r="519" ht="15.75" customHeight="1">
      <c r="A519" s="98" t="s">
        <v>532</v>
      </c>
      <c r="B519" s="87">
        <v>45965.708333333336</v>
      </c>
      <c r="C519" s="92" t="s">
        <v>180</v>
      </c>
      <c r="D519" s="89" t="s">
        <v>1097</v>
      </c>
      <c r="E519" s="90" t="s">
        <v>51</v>
      </c>
      <c r="F519" s="91" t="s">
        <v>1098</v>
      </c>
      <c r="G519" s="62"/>
      <c r="H519" s="62"/>
      <c r="I519" s="58"/>
      <c r="J519" s="58"/>
      <c r="K519" s="58"/>
      <c r="L519" s="58"/>
      <c r="M519" s="58"/>
      <c r="N519" s="8"/>
    </row>
    <row r="520" ht="15.75" customHeight="1">
      <c r="A520" s="98" t="s">
        <v>1099</v>
      </c>
      <c r="B520" s="87">
        <v>45966.958333333336</v>
      </c>
      <c r="C520" s="92" t="s">
        <v>800</v>
      </c>
      <c r="D520" s="89" t="s">
        <v>1100</v>
      </c>
      <c r="E520" s="90" t="s">
        <v>51</v>
      </c>
      <c r="F520" s="91" t="s">
        <v>224</v>
      </c>
      <c r="G520" s="62"/>
      <c r="H520" s="62"/>
      <c r="I520" s="58"/>
      <c r="J520" s="58"/>
      <c r="K520" s="58"/>
      <c r="L520" s="58"/>
      <c r="M520" s="58"/>
      <c r="N520" s="8"/>
    </row>
    <row r="521" ht="15.75" customHeight="1">
      <c r="A521" s="98" t="s">
        <v>1101</v>
      </c>
      <c r="B521" s="87">
        <v>45966.958333333336</v>
      </c>
      <c r="C521" s="92" t="s">
        <v>821</v>
      </c>
      <c r="D521" s="89" t="s">
        <v>1102</v>
      </c>
      <c r="E521" s="90" t="s">
        <v>51</v>
      </c>
      <c r="F521" s="91" t="s">
        <v>1092</v>
      </c>
      <c r="G521" s="62"/>
      <c r="H521" s="62"/>
      <c r="I521" s="58"/>
      <c r="J521" s="58"/>
      <c r="K521" s="58"/>
      <c r="L521" s="58"/>
      <c r="M521" s="58"/>
      <c r="N521" s="8"/>
    </row>
    <row r="522" ht="15.75" customHeight="1">
      <c r="A522" s="98" t="s">
        <v>1103</v>
      </c>
      <c r="B522" s="87">
        <v>45966.958333333336</v>
      </c>
      <c r="C522" s="92" t="s">
        <v>1104</v>
      </c>
      <c r="D522" s="89" t="s">
        <v>1105</v>
      </c>
      <c r="E522" s="90" t="s">
        <v>51</v>
      </c>
      <c r="F522" s="91" t="s">
        <v>1106</v>
      </c>
      <c r="G522" s="62"/>
      <c r="H522" s="62"/>
      <c r="I522" s="58"/>
      <c r="J522" s="58"/>
      <c r="K522" s="58"/>
      <c r="L522" s="58"/>
      <c r="M522" s="58"/>
      <c r="N522" s="8"/>
    </row>
    <row r="523" ht="15.75" customHeight="1">
      <c r="A523" s="98" t="s">
        <v>512</v>
      </c>
      <c r="B523" s="87">
        <v>45966.958333333336</v>
      </c>
      <c r="C523" s="92" t="s">
        <v>186</v>
      </c>
      <c r="D523" s="89" t="s">
        <v>1096</v>
      </c>
      <c r="E523" s="90" t="s">
        <v>51</v>
      </c>
      <c r="F523" s="91" t="s">
        <v>1107</v>
      </c>
      <c r="G523" s="62"/>
      <c r="H523" s="62"/>
      <c r="I523" s="58"/>
      <c r="J523" s="58"/>
      <c r="K523" s="58"/>
      <c r="L523" s="58"/>
      <c r="M523" s="58"/>
      <c r="N523" s="8"/>
    </row>
    <row r="524" ht="15.75" customHeight="1">
      <c r="A524" s="98" t="s">
        <v>1108</v>
      </c>
      <c r="B524" s="87">
        <v>45966.958333333336</v>
      </c>
      <c r="C524" s="92" t="s">
        <v>155</v>
      </c>
      <c r="D524" s="89" t="s">
        <v>1109</v>
      </c>
      <c r="E524" s="90" t="s">
        <v>51</v>
      </c>
      <c r="F524" s="91" t="s">
        <v>1110</v>
      </c>
      <c r="G524" s="62"/>
      <c r="H524" s="62"/>
      <c r="I524" s="58"/>
      <c r="J524" s="58"/>
      <c r="K524" s="58"/>
      <c r="L524" s="58"/>
      <c r="M524" s="58"/>
      <c r="N524" s="8"/>
    </row>
    <row r="525" ht="15.75" customHeight="1">
      <c r="A525" s="98" t="s">
        <v>1111</v>
      </c>
      <c r="B525" s="87">
        <v>45967.541666666664</v>
      </c>
      <c r="C525" s="92" t="s">
        <v>1012</v>
      </c>
      <c r="D525" s="89" t="s">
        <v>1112</v>
      </c>
      <c r="E525" s="90" t="s">
        <v>51</v>
      </c>
      <c r="F525" s="91" t="s">
        <v>1113</v>
      </c>
      <c r="G525" s="62"/>
      <c r="H525" s="62"/>
      <c r="I525" s="58"/>
      <c r="J525" s="58"/>
      <c r="K525" s="58"/>
      <c r="L525" s="58"/>
      <c r="M525" s="58"/>
      <c r="N525" s="8"/>
    </row>
    <row r="526" ht="15.75" customHeight="1">
      <c r="A526" s="98" t="s">
        <v>1114</v>
      </c>
      <c r="B526" s="87">
        <v>45967.958333333336</v>
      </c>
      <c r="C526" s="92" t="s">
        <v>851</v>
      </c>
      <c r="D526" s="89" t="s">
        <v>1115</v>
      </c>
      <c r="E526" s="90" t="s">
        <v>51</v>
      </c>
      <c r="F526" s="91" t="s">
        <v>764</v>
      </c>
      <c r="G526" s="62"/>
      <c r="H526" s="62"/>
      <c r="I526" s="58"/>
      <c r="J526" s="58"/>
      <c r="K526" s="58"/>
      <c r="L526" s="58"/>
      <c r="M526" s="58"/>
      <c r="N526" s="8"/>
    </row>
    <row r="527" ht="15.75" customHeight="1">
      <c r="A527" s="98" t="s">
        <v>1116</v>
      </c>
      <c r="B527" s="87">
        <v>45967.541666666664</v>
      </c>
      <c r="C527" s="92" t="s">
        <v>186</v>
      </c>
      <c r="D527" s="89" t="s">
        <v>1117</v>
      </c>
      <c r="E527" s="90" t="s">
        <v>51</v>
      </c>
      <c r="F527" s="91" t="s">
        <v>1118</v>
      </c>
      <c r="G527" s="62"/>
      <c r="H527" s="62"/>
      <c r="I527" s="58"/>
      <c r="J527" s="58"/>
      <c r="K527" s="58"/>
      <c r="L527" s="58"/>
      <c r="M527" s="58"/>
      <c r="N527" s="8"/>
    </row>
    <row r="528" ht="15.75" customHeight="1">
      <c r="A528" s="98" t="s">
        <v>1119</v>
      </c>
      <c r="B528" s="87">
        <v>45967.770833333336</v>
      </c>
      <c r="C528" s="88" t="s">
        <v>878</v>
      </c>
      <c r="D528" s="89" t="s">
        <v>1120</v>
      </c>
      <c r="E528" s="90" t="s">
        <v>51</v>
      </c>
      <c r="F528" s="91" t="s">
        <v>725</v>
      </c>
      <c r="G528" s="62"/>
      <c r="H528" s="62"/>
      <c r="I528" s="58"/>
      <c r="J528" s="58"/>
      <c r="K528" s="58"/>
      <c r="L528" s="58"/>
      <c r="M528" s="58"/>
      <c r="N528" s="8"/>
    </row>
    <row r="529" ht="15.75" customHeight="1">
      <c r="A529" s="98" t="s">
        <v>921</v>
      </c>
      <c r="B529" s="87">
        <v>45967.583333333336</v>
      </c>
      <c r="C529" s="92" t="s">
        <v>175</v>
      </c>
      <c r="D529" s="89" t="s">
        <v>1121</v>
      </c>
      <c r="E529" s="90" t="s">
        <v>51</v>
      </c>
      <c r="F529" s="91" t="s">
        <v>147</v>
      </c>
      <c r="G529" s="62"/>
      <c r="H529" s="62"/>
      <c r="I529" s="58"/>
      <c r="J529" s="58"/>
      <c r="K529" s="58"/>
      <c r="L529" s="58"/>
      <c r="M529" s="58"/>
      <c r="N529" s="8"/>
    </row>
    <row r="530" ht="15.75" customHeight="1">
      <c r="A530" s="98" t="s">
        <v>1122</v>
      </c>
      <c r="B530" s="87">
        <v>45967.958333333336</v>
      </c>
      <c r="C530" s="92" t="s">
        <v>162</v>
      </c>
      <c r="D530" s="89" t="s">
        <v>1123</v>
      </c>
      <c r="E530" s="90" t="s">
        <v>51</v>
      </c>
      <c r="F530" s="91" t="s">
        <v>1124</v>
      </c>
      <c r="G530" s="62"/>
      <c r="H530" s="62"/>
      <c r="I530" s="58"/>
      <c r="J530" s="58"/>
      <c r="K530" s="58"/>
      <c r="L530" s="58"/>
      <c r="M530" s="58"/>
      <c r="N530" s="8"/>
    </row>
    <row r="531" ht="15.75" customHeight="1">
      <c r="A531" s="98" t="s">
        <v>785</v>
      </c>
      <c r="B531" s="87">
        <v>45968.75</v>
      </c>
      <c r="C531" s="92" t="s">
        <v>252</v>
      </c>
      <c r="D531" s="89" t="s">
        <v>1125</v>
      </c>
      <c r="E531" s="90" t="s">
        <v>51</v>
      </c>
      <c r="F531" s="91" t="s">
        <v>1126</v>
      </c>
      <c r="G531" s="62"/>
      <c r="H531" s="62"/>
      <c r="I531" s="58"/>
      <c r="J531" s="58"/>
      <c r="K531" s="58"/>
      <c r="L531" s="58"/>
      <c r="M531" s="58"/>
      <c r="N531" s="8"/>
    </row>
    <row r="532" ht="15.75" customHeight="1">
      <c r="A532" s="98" t="s">
        <v>1127</v>
      </c>
      <c r="B532" s="87">
        <v>45968.541666666664</v>
      </c>
      <c r="C532" s="92" t="s">
        <v>1128</v>
      </c>
      <c r="D532" s="89" t="s">
        <v>1129</v>
      </c>
      <c r="E532" s="90" t="s">
        <v>51</v>
      </c>
      <c r="F532" s="91" t="s">
        <v>1130</v>
      </c>
      <c r="G532" s="62"/>
      <c r="H532" s="62"/>
      <c r="I532" s="58"/>
      <c r="J532" s="58"/>
      <c r="K532" s="58"/>
      <c r="L532" s="58"/>
      <c r="M532" s="58"/>
      <c r="N532" s="8"/>
    </row>
    <row r="533" ht="15.75" customHeight="1">
      <c r="A533" s="98" t="s">
        <v>877</v>
      </c>
      <c r="B533" s="87">
        <v>45968.583333333336</v>
      </c>
      <c r="C533" s="88" t="s">
        <v>878</v>
      </c>
      <c r="D533" s="89" t="s">
        <v>1131</v>
      </c>
      <c r="E533" s="90" t="s">
        <v>51</v>
      </c>
      <c r="F533" s="91" t="s">
        <v>1132</v>
      </c>
      <c r="G533" s="62"/>
      <c r="H533" s="62"/>
      <c r="I533" s="58"/>
      <c r="J533" s="58"/>
      <c r="K533" s="58"/>
      <c r="L533" s="58"/>
      <c r="M533" s="58"/>
      <c r="N533" s="8"/>
    </row>
    <row r="534" ht="15.75" customHeight="1">
      <c r="A534" s="98" t="s">
        <v>1133</v>
      </c>
      <c r="B534" s="87">
        <v>45968.75</v>
      </c>
      <c r="C534" s="92" t="s">
        <v>175</v>
      </c>
      <c r="D534" s="89" t="s">
        <v>1134</v>
      </c>
      <c r="E534" s="90" t="s">
        <v>51</v>
      </c>
      <c r="F534" s="99" t="s">
        <v>1135</v>
      </c>
      <c r="G534" s="62"/>
      <c r="H534" s="62"/>
      <c r="I534" s="58"/>
      <c r="J534" s="58"/>
      <c r="K534" s="58"/>
      <c r="L534" s="58"/>
      <c r="M534" s="58"/>
      <c r="N534" s="8"/>
    </row>
    <row r="535" ht="15.75" customHeight="1">
      <c r="A535" s="98" t="s">
        <v>1136</v>
      </c>
      <c r="B535" s="87">
        <v>45968.75</v>
      </c>
      <c r="C535" s="92" t="s">
        <v>186</v>
      </c>
      <c r="D535" s="89" t="s">
        <v>1137</v>
      </c>
      <c r="E535" s="90" t="s">
        <v>51</v>
      </c>
      <c r="F535" s="91" t="s">
        <v>1138</v>
      </c>
      <c r="G535" s="62"/>
      <c r="H535" s="62"/>
      <c r="I535" s="58"/>
      <c r="J535" s="58"/>
      <c r="K535" s="58"/>
      <c r="L535" s="58"/>
      <c r="M535" s="58"/>
      <c r="N535" s="8"/>
    </row>
    <row r="536" ht="15.75" customHeight="1">
      <c r="A536" s="98" t="s">
        <v>1139</v>
      </c>
      <c r="B536" s="87">
        <v>45969.958333333336</v>
      </c>
      <c r="C536" s="92" t="s">
        <v>800</v>
      </c>
      <c r="D536" s="89" t="s">
        <v>1140</v>
      </c>
      <c r="E536" s="90" t="s">
        <v>51</v>
      </c>
      <c r="F536" s="91" t="s">
        <v>764</v>
      </c>
      <c r="G536" s="62"/>
      <c r="H536" s="62"/>
      <c r="I536" s="58"/>
      <c r="J536" s="58"/>
      <c r="K536" s="58"/>
      <c r="L536" s="58"/>
      <c r="M536" s="58"/>
      <c r="N536" s="8"/>
    </row>
    <row r="537" ht="15.75" customHeight="1">
      <c r="A537" s="98" t="s">
        <v>1141</v>
      </c>
      <c r="B537" s="87">
        <v>45969.541666666664</v>
      </c>
      <c r="C537" s="92" t="s">
        <v>252</v>
      </c>
      <c r="D537" s="89" t="s">
        <v>1140</v>
      </c>
      <c r="E537" s="90" t="s">
        <v>51</v>
      </c>
      <c r="F537" s="91" t="s">
        <v>221</v>
      </c>
      <c r="G537" s="62"/>
      <c r="H537" s="62"/>
      <c r="I537" s="58"/>
      <c r="J537" s="58"/>
      <c r="K537" s="58"/>
      <c r="L537" s="58"/>
      <c r="M537" s="58"/>
      <c r="N537" s="8"/>
    </row>
    <row r="538" ht="15.75" customHeight="1">
      <c r="A538" s="98" t="s">
        <v>1142</v>
      </c>
      <c r="B538" s="87">
        <v>45969.958333333336</v>
      </c>
      <c r="C538" s="92" t="s">
        <v>1143</v>
      </c>
      <c r="D538" s="89" t="s">
        <v>1144</v>
      </c>
      <c r="E538" s="90" t="s">
        <v>51</v>
      </c>
      <c r="F538" s="91" t="s">
        <v>1145</v>
      </c>
      <c r="G538" s="62"/>
      <c r="H538" s="62"/>
      <c r="I538" s="58"/>
      <c r="J538" s="58"/>
      <c r="K538" s="58"/>
      <c r="L538" s="58"/>
      <c r="M538" s="58"/>
      <c r="N538" s="8"/>
    </row>
    <row r="539" ht="15.75" customHeight="1">
      <c r="A539" s="100" t="s">
        <v>1146</v>
      </c>
      <c r="B539" s="101" t="s">
        <v>1147</v>
      </c>
      <c r="C539" s="101" t="s">
        <v>1082</v>
      </c>
      <c r="D539" s="101" t="s">
        <v>1082</v>
      </c>
      <c r="E539" s="90" t="s">
        <v>51</v>
      </c>
      <c r="F539" s="102" t="s">
        <v>1148</v>
      </c>
      <c r="G539" s="62"/>
      <c r="H539" s="62"/>
      <c r="I539" s="58"/>
      <c r="J539" s="58"/>
      <c r="K539" s="58"/>
      <c r="L539" s="58"/>
      <c r="M539" s="58"/>
      <c r="N539" s="8"/>
    </row>
    <row r="540" ht="15.75" customHeight="1">
      <c r="A540" s="98" t="s">
        <v>1149</v>
      </c>
      <c r="B540" s="87">
        <v>45971.708333333336</v>
      </c>
      <c r="C540" s="92" t="s">
        <v>1150</v>
      </c>
      <c r="D540" s="89" t="s">
        <v>1151</v>
      </c>
      <c r="E540" s="90" t="s">
        <v>51</v>
      </c>
      <c r="F540" s="91" t="s">
        <v>1107</v>
      </c>
      <c r="G540" s="62"/>
      <c r="H540" s="62"/>
      <c r="I540" s="58"/>
      <c r="J540" s="58"/>
      <c r="K540" s="58"/>
      <c r="L540" s="58"/>
      <c r="M540" s="58"/>
      <c r="N540" s="8"/>
    </row>
    <row r="541" ht="15.75" customHeight="1">
      <c r="A541" s="98" t="s">
        <v>1152</v>
      </c>
      <c r="B541" s="87">
        <v>45971.958333333336</v>
      </c>
      <c r="C541" s="92" t="s">
        <v>180</v>
      </c>
      <c r="D541" s="89" t="s">
        <v>1153</v>
      </c>
      <c r="E541" s="90" t="s">
        <v>51</v>
      </c>
      <c r="F541" s="91" t="s">
        <v>1154</v>
      </c>
      <c r="G541" s="62"/>
      <c r="H541" s="62"/>
      <c r="I541" s="58"/>
      <c r="J541" s="58"/>
      <c r="K541" s="58"/>
      <c r="L541" s="58"/>
      <c r="M541" s="58"/>
      <c r="N541" s="8"/>
    </row>
    <row r="542" ht="15.75" customHeight="1">
      <c r="A542" s="98" t="s">
        <v>1155</v>
      </c>
      <c r="B542" s="87">
        <v>45972.541666666664</v>
      </c>
      <c r="C542" s="92" t="s">
        <v>155</v>
      </c>
      <c r="D542" s="89" t="s">
        <v>1089</v>
      </c>
      <c r="E542" s="90" t="s">
        <v>51</v>
      </c>
      <c r="F542" s="91" t="s">
        <v>1090</v>
      </c>
      <c r="G542" s="62"/>
      <c r="H542" s="62"/>
      <c r="I542" s="58"/>
      <c r="J542" s="58"/>
      <c r="K542" s="58"/>
      <c r="L542" s="58"/>
      <c r="M542" s="58"/>
      <c r="N542" s="8"/>
    </row>
    <row r="543" ht="15.75" customHeight="1">
      <c r="A543" s="98" t="s">
        <v>49</v>
      </c>
      <c r="B543" s="87">
        <v>45972.958333333336</v>
      </c>
      <c r="C543" s="92" t="s">
        <v>186</v>
      </c>
      <c r="D543" s="89" t="s">
        <v>1156</v>
      </c>
      <c r="E543" s="90" t="s">
        <v>51</v>
      </c>
      <c r="F543" s="91" t="s">
        <v>1157</v>
      </c>
      <c r="G543" s="62"/>
      <c r="H543" s="62"/>
      <c r="I543" s="58"/>
      <c r="J543" s="58"/>
      <c r="K543" s="58"/>
      <c r="L543" s="58"/>
      <c r="M543" s="58"/>
      <c r="N543" s="8"/>
    </row>
    <row r="544" ht="15.75" customHeight="1">
      <c r="A544" s="98" t="s">
        <v>1158</v>
      </c>
      <c r="B544" s="87">
        <v>45972.958333333336</v>
      </c>
      <c r="C544" s="92" t="s">
        <v>816</v>
      </c>
      <c r="D544" s="89" t="s">
        <v>1159</v>
      </c>
      <c r="E544" s="90" t="s">
        <v>51</v>
      </c>
      <c r="F544" s="91" t="s">
        <v>1160</v>
      </c>
      <c r="G544" s="62"/>
      <c r="H544" s="62"/>
      <c r="I544" s="58"/>
      <c r="J544" s="58"/>
      <c r="K544" s="58"/>
      <c r="L544" s="58"/>
      <c r="M544" s="58"/>
      <c r="N544" s="8"/>
    </row>
    <row r="545" ht="15.75" customHeight="1">
      <c r="A545" s="98" t="s">
        <v>1161</v>
      </c>
      <c r="B545" s="87">
        <v>45972.958333333336</v>
      </c>
      <c r="C545" s="92" t="s">
        <v>162</v>
      </c>
      <c r="D545" s="89" t="s">
        <v>1162</v>
      </c>
      <c r="E545" s="90" t="s">
        <v>51</v>
      </c>
      <c r="F545" s="91" t="s">
        <v>1163</v>
      </c>
      <c r="G545" s="62"/>
      <c r="H545" s="62"/>
      <c r="I545" s="58"/>
      <c r="J545" s="58"/>
      <c r="K545" s="58"/>
      <c r="L545" s="58"/>
      <c r="M545" s="58"/>
      <c r="N545" s="8"/>
    </row>
    <row r="546" ht="15.75" customHeight="1">
      <c r="A546" s="98" t="s">
        <v>1164</v>
      </c>
      <c r="B546" s="87">
        <v>45972.75</v>
      </c>
      <c r="C546" s="92" t="s">
        <v>1165</v>
      </c>
      <c r="D546" s="89" t="s">
        <v>1156</v>
      </c>
      <c r="E546" s="90" t="s">
        <v>51</v>
      </c>
      <c r="F546" s="91" t="s">
        <v>1166</v>
      </c>
      <c r="G546" s="62"/>
      <c r="H546" s="62"/>
      <c r="I546" s="58"/>
      <c r="J546" s="58"/>
      <c r="K546" s="58"/>
      <c r="L546" s="58"/>
      <c r="M546" s="58"/>
      <c r="N546" s="8"/>
    </row>
    <row r="547" ht="15.75" customHeight="1">
      <c r="A547" s="98" t="s">
        <v>1167</v>
      </c>
      <c r="B547" s="87">
        <v>45973.5</v>
      </c>
      <c r="C547" s="92" t="s">
        <v>180</v>
      </c>
      <c r="D547" s="89" t="s">
        <v>1168</v>
      </c>
      <c r="E547" s="90" t="s">
        <v>51</v>
      </c>
      <c r="F547" s="91" t="s">
        <v>1169</v>
      </c>
      <c r="G547" s="62"/>
      <c r="H547" s="62"/>
      <c r="I547" s="58"/>
      <c r="J547" s="58"/>
      <c r="K547" s="58"/>
      <c r="L547" s="58"/>
      <c r="M547" s="58"/>
      <c r="N547" s="8"/>
    </row>
    <row r="548" ht="15.75" customHeight="1">
      <c r="A548" s="98" t="s">
        <v>1170</v>
      </c>
      <c r="B548" s="87">
        <v>45973.875</v>
      </c>
      <c r="C548" s="92" t="s">
        <v>1171</v>
      </c>
      <c r="D548" s="89" t="s">
        <v>1172</v>
      </c>
      <c r="E548" s="90" t="s">
        <v>51</v>
      </c>
      <c r="F548" s="91" t="s">
        <v>1173</v>
      </c>
      <c r="G548" s="62"/>
      <c r="H548" s="62"/>
      <c r="I548" s="58"/>
      <c r="J548" s="58"/>
      <c r="K548" s="58"/>
      <c r="L548" s="58"/>
      <c r="M548" s="58"/>
      <c r="N548" s="8"/>
    </row>
    <row r="549" ht="15.75" customHeight="1">
      <c r="A549" s="98" t="s">
        <v>1174</v>
      </c>
      <c r="B549" s="87">
        <v>45973.541666666664</v>
      </c>
      <c r="C549" s="92" t="s">
        <v>1128</v>
      </c>
      <c r="D549" s="89" t="s">
        <v>1175</v>
      </c>
      <c r="E549" s="90" t="s">
        <v>51</v>
      </c>
      <c r="F549" s="91" t="s">
        <v>1176</v>
      </c>
      <c r="G549" s="62"/>
      <c r="H549" s="62"/>
      <c r="I549" s="58"/>
      <c r="J549" s="58"/>
      <c r="K549" s="58"/>
      <c r="L549" s="58"/>
      <c r="M549" s="58"/>
      <c r="N549" s="8"/>
    </row>
    <row r="550" ht="15.75" customHeight="1">
      <c r="A550" s="98" t="s">
        <v>49</v>
      </c>
      <c r="B550" s="87">
        <v>45973.958333333336</v>
      </c>
      <c r="C550" s="92" t="s">
        <v>186</v>
      </c>
      <c r="D550" s="89" t="s">
        <v>1156</v>
      </c>
      <c r="E550" s="90" t="s">
        <v>51</v>
      </c>
      <c r="F550" s="91" t="s">
        <v>1107</v>
      </c>
      <c r="G550" s="62"/>
      <c r="H550" s="62"/>
      <c r="I550" s="58"/>
      <c r="J550" s="58"/>
      <c r="K550" s="58"/>
      <c r="L550" s="58"/>
      <c r="M550" s="58"/>
      <c r="N550" s="8"/>
    </row>
    <row r="551" ht="15.75" customHeight="1">
      <c r="A551" s="98" t="s">
        <v>1158</v>
      </c>
      <c r="B551" s="87">
        <v>45973.958333333336</v>
      </c>
      <c r="C551" s="92" t="s">
        <v>1177</v>
      </c>
      <c r="D551" s="89" t="s">
        <v>1159</v>
      </c>
      <c r="E551" s="90" t="s">
        <v>51</v>
      </c>
      <c r="F551" s="91" t="s">
        <v>1178</v>
      </c>
      <c r="G551" s="62"/>
      <c r="H551" s="62"/>
      <c r="I551" s="58"/>
      <c r="J551" s="58"/>
      <c r="K551" s="58"/>
      <c r="L551" s="58"/>
      <c r="M551" s="58"/>
      <c r="N551" s="8"/>
    </row>
    <row r="552" ht="15.75" customHeight="1">
      <c r="A552" s="98" t="s">
        <v>1179</v>
      </c>
      <c r="B552" s="87">
        <v>45974.541666666664</v>
      </c>
      <c r="C552" s="92" t="s">
        <v>175</v>
      </c>
      <c r="D552" s="89" t="s">
        <v>1180</v>
      </c>
      <c r="E552" s="90" t="s">
        <v>51</v>
      </c>
      <c r="F552" s="91" t="s">
        <v>1181</v>
      </c>
      <c r="G552" s="62"/>
      <c r="H552" s="62"/>
      <c r="I552" s="58"/>
      <c r="J552" s="58"/>
      <c r="K552" s="58"/>
      <c r="L552" s="58"/>
      <c r="M552" s="58"/>
      <c r="N552" s="8"/>
    </row>
    <row r="553" ht="15.75" customHeight="1">
      <c r="A553" s="98" t="s">
        <v>599</v>
      </c>
      <c r="B553" s="87">
        <v>45974.958333333336</v>
      </c>
      <c r="C553" s="92" t="s">
        <v>851</v>
      </c>
      <c r="D553" s="89" t="s">
        <v>1182</v>
      </c>
      <c r="E553" s="90" t="s">
        <v>51</v>
      </c>
      <c r="F553" s="91" t="s">
        <v>764</v>
      </c>
      <c r="G553" s="62"/>
      <c r="H553" s="62"/>
      <c r="I553" s="58"/>
      <c r="J553" s="58"/>
      <c r="K553" s="58"/>
      <c r="L553" s="58"/>
      <c r="M553" s="58"/>
      <c r="N553" s="8"/>
    </row>
    <row r="554" ht="15.75" customHeight="1">
      <c r="A554" s="98" t="s">
        <v>1183</v>
      </c>
      <c r="B554" s="87">
        <v>45974.75</v>
      </c>
      <c r="C554" s="92" t="s">
        <v>175</v>
      </c>
      <c r="D554" s="89" t="s">
        <v>1184</v>
      </c>
      <c r="E554" s="90" t="s">
        <v>51</v>
      </c>
      <c r="F554" s="91" t="s">
        <v>1185</v>
      </c>
      <c r="G554" s="62"/>
      <c r="H554" s="62"/>
      <c r="I554" s="58"/>
      <c r="J554" s="58"/>
      <c r="K554" s="58"/>
      <c r="L554" s="58"/>
      <c r="M554" s="58"/>
      <c r="N554" s="8"/>
    </row>
    <row r="555" ht="15.75" customHeight="1">
      <c r="A555" s="98" t="s">
        <v>532</v>
      </c>
      <c r="B555" s="87">
        <v>45974.75</v>
      </c>
      <c r="C555" s="92" t="s">
        <v>180</v>
      </c>
      <c r="D555" s="89" t="s">
        <v>1186</v>
      </c>
      <c r="E555" s="90" t="s">
        <v>51</v>
      </c>
      <c r="F555" s="91" t="s">
        <v>1187</v>
      </c>
      <c r="G555" s="62"/>
      <c r="H555" s="62"/>
      <c r="I555" s="58"/>
      <c r="J555" s="58"/>
      <c r="K555" s="58"/>
      <c r="L555" s="58"/>
      <c r="M555" s="58"/>
      <c r="N555" s="8"/>
    </row>
    <row r="556" ht="15.75" customHeight="1">
      <c r="A556" s="98" t="s">
        <v>921</v>
      </c>
      <c r="B556" s="87">
        <v>45974.75</v>
      </c>
      <c r="C556" s="92" t="s">
        <v>186</v>
      </c>
      <c r="D556" s="89" t="s">
        <v>1188</v>
      </c>
      <c r="E556" s="90" t="s">
        <v>51</v>
      </c>
      <c r="F556" s="91" t="s">
        <v>1189</v>
      </c>
      <c r="G556" s="62"/>
      <c r="H556" s="62"/>
      <c r="I556" s="58"/>
      <c r="J556" s="58"/>
      <c r="K556" s="58"/>
      <c r="L556" s="58"/>
      <c r="M556" s="58"/>
      <c r="N556" s="8"/>
    </row>
    <row r="557" ht="15.75" customHeight="1">
      <c r="A557" s="98" t="s">
        <v>1190</v>
      </c>
      <c r="B557" s="87">
        <v>45974.958333333336</v>
      </c>
      <c r="C557" s="92" t="s">
        <v>252</v>
      </c>
      <c r="D557" s="89" t="s">
        <v>1191</v>
      </c>
      <c r="E557" s="90" t="s">
        <v>51</v>
      </c>
      <c r="F557" s="91" t="s">
        <v>1192</v>
      </c>
      <c r="G557" s="62"/>
      <c r="H557" s="62"/>
      <c r="I557" s="58"/>
      <c r="J557" s="58"/>
      <c r="K557" s="58"/>
      <c r="L557" s="58"/>
      <c r="M557" s="58"/>
      <c r="N557" s="8"/>
    </row>
    <row r="558" ht="15.75" customHeight="1">
      <c r="A558" s="98" t="s">
        <v>1193</v>
      </c>
      <c r="B558" s="87">
        <v>45974.916666666664</v>
      </c>
      <c r="C558" s="88" t="s">
        <v>1194</v>
      </c>
      <c r="D558" s="89" t="s">
        <v>1195</v>
      </c>
      <c r="E558" s="90" t="s">
        <v>51</v>
      </c>
      <c r="F558" s="91" t="s">
        <v>1196</v>
      </c>
      <c r="G558" s="62"/>
      <c r="H558" s="62"/>
      <c r="I558" s="58"/>
      <c r="J558" s="58"/>
      <c r="K558" s="58"/>
      <c r="L558" s="58"/>
      <c r="M558" s="58"/>
      <c r="N558" s="8"/>
    </row>
    <row r="559" ht="15.75" customHeight="1">
      <c r="A559" s="98" t="s">
        <v>1197</v>
      </c>
      <c r="B559" s="87">
        <v>45975.75</v>
      </c>
      <c r="C559" s="92" t="s">
        <v>1012</v>
      </c>
      <c r="D559" s="89" t="s">
        <v>1198</v>
      </c>
      <c r="E559" s="90" t="s">
        <v>51</v>
      </c>
      <c r="F559" s="91" t="s">
        <v>1199</v>
      </c>
      <c r="G559" s="62"/>
      <c r="H559" s="62"/>
      <c r="I559" s="58"/>
      <c r="J559" s="58"/>
      <c r="K559" s="58"/>
      <c r="L559" s="58"/>
      <c r="M559" s="58"/>
      <c r="N559" s="8"/>
    </row>
    <row r="560" ht="15.75" customHeight="1">
      <c r="A560" s="98" t="s">
        <v>1200</v>
      </c>
      <c r="B560" s="87">
        <v>45975.958333333336</v>
      </c>
      <c r="C560" s="92" t="s">
        <v>800</v>
      </c>
      <c r="D560" s="89" t="s">
        <v>1201</v>
      </c>
      <c r="E560" s="90" t="s">
        <v>51</v>
      </c>
      <c r="F560" s="91" t="s">
        <v>1202</v>
      </c>
      <c r="G560" s="62"/>
      <c r="H560" s="62"/>
      <c r="I560" s="58"/>
      <c r="J560" s="58"/>
      <c r="K560" s="58"/>
      <c r="L560" s="58"/>
      <c r="M560" s="58"/>
      <c r="N560" s="8"/>
    </row>
    <row r="561" ht="15.75" customHeight="1">
      <c r="A561" s="98" t="s">
        <v>1203</v>
      </c>
      <c r="B561" s="87">
        <v>45975.541666666664</v>
      </c>
      <c r="C561" s="88" t="s">
        <v>878</v>
      </c>
      <c r="D561" s="89" t="s">
        <v>1204</v>
      </c>
      <c r="E561" s="90" t="s">
        <v>51</v>
      </c>
      <c r="F561" s="91" t="s">
        <v>1205</v>
      </c>
      <c r="G561" s="62"/>
      <c r="H561" s="62"/>
      <c r="I561" s="58"/>
      <c r="J561" s="58"/>
      <c r="K561" s="58"/>
      <c r="L561" s="58"/>
      <c r="M561" s="58"/>
      <c r="N561" s="8"/>
    </row>
    <row r="562" ht="15.75" customHeight="1">
      <c r="A562" s="98" t="s">
        <v>1206</v>
      </c>
      <c r="B562" s="87">
        <v>45975.75</v>
      </c>
      <c r="C562" s="92" t="s">
        <v>186</v>
      </c>
      <c r="D562" s="89" t="s">
        <v>1207</v>
      </c>
      <c r="E562" s="90" t="s">
        <v>51</v>
      </c>
      <c r="F562" s="91" t="s">
        <v>1208</v>
      </c>
      <c r="G562" s="62"/>
      <c r="H562" s="62"/>
      <c r="I562" s="58"/>
      <c r="J562" s="58"/>
      <c r="K562" s="58"/>
      <c r="L562" s="58"/>
      <c r="M562" s="58"/>
      <c r="N562" s="8"/>
    </row>
    <row r="563" ht="15.75" customHeight="1">
      <c r="A563" s="98" t="s">
        <v>1209</v>
      </c>
      <c r="B563" s="87">
        <v>45978.958333333336</v>
      </c>
      <c r="C563" s="92" t="s">
        <v>1210</v>
      </c>
      <c r="D563" s="89" t="s">
        <v>1211</v>
      </c>
      <c r="E563" s="90" t="s">
        <v>51</v>
      </c>
      <c r="F563" s="91" t="s">
        <v>1212</v>
      </c>
      <c r="G563" s="62"/>
      <c r="H563" s="62"/>
      <c r="I563" s="58"/>
      <c r="J563" s="58"/>
      <c r="K563" s="58"/>
      <c r="L563" s="58"/>
      <c r="M563" s="58"/>
      <c r="N563" s="8"/>
    </row>
    <row r="564" ht="15.75" customHeight="1">
      <c r="A564" s="98" t="s">
        <v>1213</v>
      </c>
      <c r="B564" s="87">
        <v>45978.4375</v>
      </c>
      <c r="C564" s="88" t="s">
        <v>1194</v>
      </c>
      <c r="D564" s="89" t="s">
        <v>1214</v>
      </c>
      <c r="E564" s="90" t="s">
        <v>51</v>
      </c>
      <c r="F564" s="91" t="s">
        <v>1212</v>
      </c>
      <c r="G564" s="62"/>
      <c r="H564" s="62"/>
      <c r="I564" s="58"/>
      <c r="J564" s="58"/>
      <c r="K564" s="58"/>
      <c r="L564" s="58"/>
      <c r="M564" s="58"/>
      <c r="N564" s="8"/>
    </row>
    <row r="565" ht="15.75" customHeight="1">
      <c r="A565" s="98" t="s">
        <v>1215</v>
      </c>
      <c r="B565" s="87">
        <v>45978.958333333336</v>
      </c>
      <c r="C565" s="92" t="s">
        <v>228</v>
      </c>
      <c r="D565" s="89" t="s">
        <v>1216</v>
      </c>
      <c r="E565" s="90" t="s">
        <v>51</v>
      </c>
      <c r="F565" s="91" t="s">
        <v>147</v>
      </c>
      <c r="G565" s="62"/>
      <c r="H565" s="62"/>
      <c r="I565" s="58"/>
      <c r="J565" s="58"/>
      <c r="K565" s="58"/>
      <c r="L565" s="58"/>
      <c r="M565" s="58"/>
      <c r="N565" s="8"/>
    </row>
    <row r="566" ht="15.75" customHeight="1">
      <c r="A566" s="98" t="s">
        <v>532</v>
      </c>
      <c r="B566" s="87">
        <v>45978.75</v>
      </c>
      <c r="C566" s="92" t="s">
        <v>454</v>
      </c>
      <c r="D566" s="89" t="s">
        <v>1216</v>
      </c>
      <c r="E566" s="90" t="s">
        <v>51</v>
      </c>
      <c r="F566" s="91" t="s">
        <v>1217</v>
      </c>
      <c r="G566" s="62"/>
      <c r="H566" s="62"/>
      <c r="I566" s="58"/>
      <c r="J566" s="58"/>
      <c r="K566" s="58"/>
      <c r="L566" s="58"/>
      <c r="M566" s="58"/>
      <c r="N566" s="8"/>
    </row>
    <row r="567" ht="15.75" customHeight="1">
      <c r="A567" s="98" t="s">
        <v>1218</v>
      </c>
      <c r="B567" s="87">
        <v>45978.958333333336</v>
      </c>
      <c r="C567" s="92" t="s">
        <v>155</v>
      </c>
      <c r="D567" s="89" t="s">
        <v>1219</v>
      </c>
      <c r="E567" s="90" t="s">
        <v>51</v>
      </c>
      <c r="F567" s="91" t="s">
        <v>764</v>
      </c>
      <c r="G567" s="62"/>
      <c r="H567" s="62"/>
      <c r="I567" s="58"/>
      <c r="J567" s="58"/>
      <c r="K567" s="58"/>
      <c r="L567" s="58"/>
      <c r="M567" s="58"/>
      <c r="N567" s="8"/>
    </row>
    <row r="568" ht="15.75" customHeight="1">
      <c r="A568" s="98" t="s">
        <v>1215</v>
      </c>
      <c r="B568" s="87">
        <v>45979.958333333336</v>
      </c>
      <c r="C568" s="92" t="s">
        <v>1220</v>
      </c>
      <c r="D568" s="89" t="s">
        <v>1216</v>
      </c>
      <c r="E568" s="90" t="s">
        <v>51</v>
      </c>
      <c r="F568" s="91" t="s">
        <v>1221</v>
      </c>
      <c r="G568" s="62"/>
      <c r="H568" s="62"/>
      <c r="I568" s="58"/>
      <c r="J568" s="58"/>
      <c r="K568" s="58"/>
      <c r="L568" s="58"/>
      <c r="M568" s="58"/>
      <c r="N568" s="8"/>
    </row>
    <row r="569" ht="15.75" customHeight="1">
      <c r="A569" s="98" t="s">
        <v>1222</v>
      </c>
      <c r="B569" s="87">
        <v>45979.541666666664</v>
      </c>
      <c r="C569" s="92" t="s">
        <v>1012</v>
      </c>
      <c r="D569" s="89" t="s">
        <v>1096</v>
      </c>
      <c r="E569" s="90" t="s">
        <v>51</v>
      </c>
      <c r="F569" s="91" t="s">
        <v>1223</v>
      </c>
      <c r="G569" s="62"/>
      <c r="H569" s="62"/>
      <c r="I569" s="58"/>
      <c r="J569" s="58"/>
      <c r="K569" s="58"/>
      <c r="L569" s="58"/>
      <c r="M569" s="58"/>
      <c r="N569" s="8"/>
    </row>
    <row r="570" ht="15.75" customHeight="1">
      <c r="A570" s="98" t="s">
        <v>190</v>
      </c>
      <c r="B570" s="87">
        <v>45979.958333333336</v>
      </c>
      <c r="C570" s="92" t="s">
        <v>800</v>
      </c>
      <c r="D570" s="89" t="s">
        <v>1117</v>
      </c>
      <c r="E570" s="90" t="s">
        <v>51</v>
      </c>
      <c r="F570" s="91" t="s">
        <v>1224</v>
      </c>
      <c r="G570" s="62"/>
      <c r="H570" s="62"/>
      <c r="I570" s="58"/>
      <c r="J570" s="58"/>
      <c r="K570" s="58"/>
      <c r="L570" s="58"/>
      <c r="M570" s="58"/>
      <c r="N570" s="8"/>
    </row>
    <row r="571" ht="15.75" customHeight="1">
      <c r="A571" s="98" t="s">
        <v>1225</v>
      </c>
      <c r="B571" s="87">
        <v>45979.541666666664</v>
      </c>
      <c r="C571" s="92" t="s">
        <v>155</v>
      </c>
      <c r="D571" s="89" t="s">
        <v>1159</v>
      </c>
      <c r="E571" s="90" t="s">
        <v>51</v>
      </c>
      <c r="F571" s="91" t="s">
        <v>1226</v>
      </c>
      <c r="G571" s="62"/>
      <c r="H571" s="62"/>
      <c r="I571" s="58"/>
      <c r="J571" s="58"/>
      <c r="K571" s="58"/>
      <c r="L571" s="58"/>
      <c r="M571" s="58"/>
      <c r="N571" s="8"/>
    </row>
    <row r="572" ht="15.75" customHeight="1">
      <c r="A572" s="98" t="s">
        <v>1227</v>
      </c>
      <c r="B572" s="87">
        <v>45980.916666666664</v>
      </c>
      <c r="C572" s="92" t="s">
        <v>1228</v>
      </c>
      <c r="D572" s="89" t="s">
        <v>1156</v>
      </c>
      <c r="E572" s="90" t="s">
        <v>51</v>
      </c>
      <c r="F572" s="91" t="s">
        <v>1229</v>
      </c>
      <c r="G572" s="62"/>
      <c r="H572" s="62"/>
      <c r="I572" s="58"/>
      <c r="J572" s="58"/>
      <c r="K572" s="58"/>
      <c r="L572" s="58"/>
      <c r="M572" s="58"/>
      <c r="N572" s="8"/>
    </row>
    <row r="573" ht="15.75" customHeight="1">
      <c r="A573" s="98" t="s">
        <v>856</v>
      </c>
      <c r="B573" s="87">
        <v>45980.958333333336</v>
      </c>
      <c r="C573" s="92" t="s">
        <v>800</v>
      </c>
      <c r="D573" s="89" t="s">
        <v>1230</v>
      </c>
      <c r="E573" s="90" t="s">
        <v>51</v>
      </c>
      <c r="F573" s="91" t="s">
        <v>1231</v>
      </c>
      <c r="G573" s="62"/>
      <c r="H573" s="62"/>
      <c r="I573" s="58"/>
      <c r="J573" s="58"/>
      <c r="K573" s="58"/>
      <c r="L573" s="58"/>
      <c r="M573" s="58"/>
      <c r="N573" s="8"/>
    </row>
    <row r="574" ht="15.75" customHeight="1">
      <c r="A574" s="98" t="s">
        <v>436</v>
      </c>
      <c r="B574" s="87">
        <v>45980.75</v>
      </c>
      <c r="C574" s="92" t="s">
        <v>189</v>
      </c>
      <c r="D574" s="89" t="s">
        <v>1232</v>
      </c>
      <c r="E574" s="90" t="s">
        <v>51</v>
      </c>
      <c r="F574" s="91" t="s">
        <v>1233</v>
      </c>
      <c r="G574" s="62"/>
      <c r="H574" s="62"/>
      <c r="I574" s="58"/>
      <c r="J574" s="58"/>
      <c r="K574" s="58"/>
      <c r="L574" s="58"/>
      <c r="M574" s="58"/>
      <c r="N574" s="8"/>
    </row>
    <row r="575" ht="15.75" customHeight="1">
      <c r="A575" s="103" t="s">
        <v>1234</v>
      </c>
      <c r="B575" s="87">
        <v>45980.958333333336</v>
      </c>
      <c r="C575" s="92" t="s">
        <v>186</v>
      </c>
      <c r="D575" s="89" t="s">
        <v>1235</v>
      </c>
      <c r="E575" s="90" t="s">
        <v>51</v>
      </c>
      <c r="F575" s="99" t="s">
        <v>652</v>
      </c>
      <c r="G575" s="62"/>
      <c r="H575" s="62"/>
      <c r="I575" s="58"/>
      <c r="J575" s="58"/>
      <c r="K575" s="58"/>
      <c r="L575" s="58"/>
      <c r="M575" s="58"/>
      <c r="N575" s="8"/>
    </row>
    <row r="576" ht="15.75" customHeight="1">
      <c r="A576" s="98" t="s">
        <v>1236</v>
      </c>
      <c r="B576" s="87">
        <v>45983.75</v>
      </c>
      <c r="C576" s="92" t="s">
        <v>180</v>
      </c>
      <c r="D576" s="89" t="s">
        <v>1237</v>
      </c>
      <c r="E576" s="90" t="s">
        <v>51</v>
      </c>
      <c r="F576" s="91" t="s">
        <v>1238</v>
      </c>
      <c r="G576" s="62"/>
      <c r="H576" s="62"/>
      <c r="I576" s="58"/>
      <c r="J576" s="58"/>
      <c r="K576" s="58"/>
      <c r="L576" s="58"/>
      <c r="M576" s="58"/>
      <c r="N576" s="8"/>
    </row>
    <row r="577" ht="15.75" customHeight="1">
      <c r="A577" s="98" t="s">
        <v>1011</v>
      </c>
      <c r="B577" s="87">
        <v>45985.75</v>
      </c>
      <c r="C577" s="92" t="s">
        <v>1012</v>
      </c>
      <c r="D577" s="89" t="s">
        <v>1239</v>
      </c>
      <c r="E577" s="90" t="s">
        <v>51</v>
      </c>
      <c r="F577" s="91" t="s">
        <v>1240</v>
      </c>
      <c r="G577" s="62"/>
      <c r="H577" s="62"/>
      <c r="I577" s="58"/>
      <c r="J577" s="58"/>
      <c r="K577" s="58"/>
      <c r="L577" s="58"/>
      <c r="M577" s="58"/>
      <c r="N577" s="8"/>
    </row>
    <row r="578" ht="15.75" customHeight="1">
      <c r="A578" s="98" t="s">
        <v>1241</v>
      </c>
      <c r="B578" s="87">
        <v>45985.5</v>
      </c>
      <c r="C578" s="92" t="s">
        <v>175</v>
      </c>
      <c r="D578" s="89" t="s">
        <v>1216</v>
      </c>
      <c r="E578" s="90" t="s">
        <v>51</v>
      </c>
      <c r="F578" s="91" t="s">
        <v>1242</v>
      </c>
      <c r="G578" s="62"/>
      <c r="H578" s="62"/>
      <c r="I578" s="58"/>
      <c r="J578" s="58"/>
      <c r="K578" s="58"/>
      <c r="L578" s="58"/>
      <c r="M578" s="58"/>
      <c r="N578" s="8"/>
    </row>
    <row r="579" ht="15.75" customHeight="1">
      <c r="A579" s="98" t="s">
        <v>1243</v>
      </c>
      <c r="B579" s="87">
        <v>45985.958333333336</v>
      </c>
      <c r="C579" s="92" t="s">
        <v>252</v>
      </c>
      <c r="D579" s="89" t="s">
        <v>1244</v>
      </c>
      <c r="E579" s="90" t="s">
        <v>51</v>
      </c>
      <c r="F579" s="91" t="s">
        <v>1245</v>
      </c>
      <c r="G579" s="62"/>
      <c r="H579" s="62"/>
      <c r="I579" s="58"/>
      <c r="J579" s="58"/>
      <c r="K579" s="58"/>
      <c r="L579" s="58"/>
      <c r="M579" s="58"/>
      <c r="N579" s="8"/>
    </row>
    <row r="580" ht="15.75" customHeight="1">
      <c r="A580" s="98" t="s">
        <v>1246</v>
      </c>
      <c r="B580" s="87">
        <v>45986.958333333336</v>
      </c>
      <c r="C580" s="92" t="s">
        <v>800</v>
      </c>
      <c r="D580" s="89" t="s">
        <v>1247</v>
      </c>
      <c r="E580" s="90" t="s">
        <v>51</v>
      </c>
      <c r="F580" s="91" t="s">
        <v>1248</v>
      </c>
      <c r="G580" s="62"/>
      <c r="H580" s="62"/>
      <c r="I580" s="58"/>
      <c r="J580" s="58"/>
      <c r="K580" s="58"/>
      <c r="L580" s="58"/>
      <c r="M580" s="58"/>
      <c r="N580" s="8"/>
    </row>
    <row r="581" ht="15.75" customHeight="1">
      <c r="A581" s="98" t="s">
        <v>1249</v>
      </c>
      <c r="B581" s="87">
        <v>45986.958333333336</v>
      </c>
      <c r="C581" s="92" t="s">
        <v>175</v>
      </c>
      <c r="D581" s="89" t="s">
        <v>1250</v>
      </c>
      <c r="E581" s="90" t="s">
        <v>51</v>
      </c>
      <c r="F581" s="91" t="s">
        <v>1251</v>
      </c>
      <c r="G581" s="62"/>
      <c r="H581" s="62"/>
      <c r="I581" s="58"/>
      <c r="J581" s="58"/>
      <c r="K581" s="58"/>
      <c r="L581" s="58"/>
      <c r="M581" s="58"/>
      <c r="N581" s="8"/>
    </row>
    <row r="582" ht="15.75" customHeight="1">
      <c r="A582" s="98" t="s">
        <v>1252</v>
      </c>
      <c r="B582" s="87">
        <v>45986.791666666664</v>
      </c>
      <c r="C582" s="92" t="s">
        <v>1012</v>
      </c>
      <c r="D582" s="89" t="s">
        <v>1253</v>
      </c>
      <c r="E582" s="90" t="s">
        <v>51</v>
      </c>
      <c r="F582" s="91" t="s">
        <v>1254</v>
      </c>
      <c r="G582" s="62"/>
      <c r="H582" s="62"/>
      <c r="I582" s="58"/>
      <c r="J582" s="58"/>
      <c r="K582" s="58"/>
      <c r="L582" s="58"/>
      <c r="M582" s="58"/>
      <c r="N582" s="8"/>
    </row>
    <row r="583" ht="15.75" customHeight="1">
      <c r="A583" s="98" t="s">
        <v>1255</v>
      </c>
      <c r="B583" s="87">
        <v>45986.791666666664</v>
      </c>
      <c r="C583" s="92" t="s">
        <v>189</v>
      </c>
      <c r="D583" s="89" t="s">
        <v>1256</v>
      </c>
      <c r="E583" s="90" t="s">
        <v>51</v>
      </c>
      <c r="F583" s="91" t="s">
        <v>1257</v>
      </c>
      <c r="G583" s="62"/>
      <c r="H583" s="62"/>
      <c r="I583" s="58"/>
      <c r="J583" s="58"/>
      <c r="K583" s="58"/>
      <c r="L583" s="58"/>
      <c r="M583" s="58"/>
      <c r="N583" s="8"/>
    </row>
    <row r="584" ht="15.75" customHeight="1">
      <c r="A584" s="98" t="s">
        <v>1258</v>
      </c>
      <c r="B584" s="87">
        <v>45986.75</v>
      </c>
      <c r="C584" s="92" t="s">
        <v>1259</v>
      </c>
      <c r="D584" s="89" t="s">
        <v>1260</v>
      </c>
      <c r="E584" s="90" t="s">
        <v>51</v>
      </c>
      <c r="F584" s="91" t="s">
        <v>1261</v>
      </c>
      <c r="G584" s="62"/>
      <c r="H584" s="62"/>
      <c r="I584" s="58"/>
      <c r="J584" s="58"/>
      <c r="K584" s="58"/>
      <c r="L584" s="58"/>
      <c r="M584" s="58"/>
      <c r="N584" s="8"/>
    </row>
    <row r="585" ht="15.75" customHeight="1">
      <c r="A585" s="98" t="s">
        <v>469</v>
      </c>
      <c r="B585" s="87">
        <v>45986.666666666664</v>
      </c>
      <c r="C585" s="92" t="s">
        <v>180</v>
      </c>
      <c r="D585" s="89" t="s">
        <v>1262</v>
      </c>
      <c r="E585" s="90" t="s">
        <v>51</v>
      </c>
      <c r="F585" s="91" t="s">
        <v>1263</v>
      </c>
      <c r="G585" s="62"/>
      <c r="H585" s="62"/>
      <c r="I585" s="58"/>
      <c r="J585" s="58"/>
      <c r="K585" s="58"/>
      <c r="L585" s="58"/>
      <c r="M585" s="58"/>
      <c r="N585" s="8"/>
    </row>
    <row r="586" ht="15.75" customHeight="1">
      <c r="A586" s="98" t="s">
        <v>940</v>
      </c>
      <c r="B586" s="87">
        <v>45987.75</v>
      </c>
      <c r="C586" s="92" t="s">
        <v>1264</v>
      </c>
      <c r="D586" s="89" t="s">
        <v>1265</v>
      </c>
      <c r="E586" s="90" t="s">
        <v>51</v>
      </c>
      <c r="F586" s="91" t="s">
        <v>1266</v>
      </c>
      <c r="G586" s="62"/>
      <c r="H586" s="62"/>
      <c r="I586" s="58"/>
      <c r="J586" s="58"/>
      <c r="K586" s="58"/>
      <c r="L586" s="58"/>
      <c r="M586" s="58"/>
      <c r="N586" s="8"/>
    </row>
    <row r="587" ht="15.75" customHeight="1">
      <c r="A587" s="98" t="s">
        <v>1267</v>
      </c>
      <c r="B587" s="87">
        <v>45987.958333333336</v>
      </c>
      <c r="C587" s="92" t="s">
        <v>800</v>
      </c>
      <c r="D587" s="89" t="s">
        <v>1268</v>
      </c>
      <c r="E587" s="90" t="s">
        <v>51</v>
      </c>
      <c r="F587" s="91" t="s">
        <v>1269</v>
      </c>
      <c r="G587" s="62"/>
      <c r="H587" s="62"/>
      <c r="I587" s="58"/>
      <c r="J587" s="58"/>
      <c r="K587" s="58"/>
      <c r="L587" s="58"/>
      <c r="M587" s="58"/>
      <c r="N587" s="8"/>
    </row>
    <row r="588" ht="15.75" customHeight="1">
      <c r="A588" s="98" t="s">
        <v>1249</v>
      </c>
      <c r="B588" s="87">
        <v>45987.75</v>
      </c>
      <c r="C588" s="92" t="s">
        <v>155</v>
      </c>
      <c r="D588" s="89" t="s">
        <v>1250</v>
      </c>
      <c r="E588" s="90" t="s">
        <v>51</v>
      </c>
      <c r="F588" s="91" t="s">
        <v>1113</v>
      </c>
      <c r="G588" s="62"/>
      <c r="H588" s="62"/>
      <c r="I588" s="58"/>
      <c r="J588" s="58"/>
      <c r="K588" s="58"/>
      <c r="L588" s="58"/>
      <c r="M588" s="58"/>
      <c r="N588" s="8"/>
    </row>
    <row r="589" ht="15.75" customHeight="1">
      <c r="A589" s="98" t="s">
        <v>1270</v>
      </c>
      <c r="B589" s="87">
        <v>45987.958333333336</v>
      </c>
      <c r="C589" s="92" t="s">
        <v>252</v>
      </c>
      <c r="D589" s="89" t="s">
        <v>1271</v>
      </c>
      <c r="E589" s="90" t="s">
        <v>51</v>
      </c>
      <c r="F589" s="91" t="s">
        <v>510</v>
      </c>
      <c r="G589" s="62"/>
      <c r="H589" s="62"/>
      <c r="I589" s="58"/>
      <c r="J589" s="58"/>
      <c r="K589" s="58"/>
      <c r="L589" s="58"/>
      <c r="M589" s="58"/>
      <c r="N589" s="8"/>
    </row>
    <row r="590" ht="15.75" customHeight="1">
      <c r="A590" s="98" t="s">
        <v>840</v>
      </c>
      <c r="B590" s="87">
        <v>45987.75</v>
      </c>
      <c r="C590" s="92" t="s">
        <v>175</v>
      </c>
      <c r="D590" s="89" t="s">
        <v>1272</v>
      </c>
      <c r="E590" s="90" t="s">
        <v>51</v>
      </c>
      <c r="F590" s="91" t="s">
        <v>1273</v>
      </c>
      <c r="G590" s="62"/>
      <c r="H590" s="62"/>
      <c r="I590" s="58"/>
      <c r="J590" s="58"/>
      <c r="K590" s="58"/>
      <c r="L590" s="58"/>
      <c r="M590" s="58"/>
      <c r="N590" s="8"/>
    </row>
    <row r="591" ht="15.75" customHeight="1">
      <c r="A591" s="98" t="s">
        <v>270</v>
      </c>
      <c r="B591" s="87">
        <v>45987.5</v>
      </c>
      <c r="C591" s="92" t="s">
        <v>1012</v>
      </c>
      <c r="D591" s="89" t="s">
        <v>1274</v>
      </c>
      <c r="E591" s="90" t="s">
        <v>51</v>
      </c>
      <c r="F591" s="91" t="s">
        <v>224</v>
      </c>
      <c r="G591" s="62"/>
      <c r="H591" s="62"/>
      <c r="I591" s="58"/>
      <c r="J591" s="58"/>
      <c r="K591" s="58"/>
      <c r="L591" s="58"/>
      <c r="M591" s="58"/>
      <c r="N591" s="8"/>
    </row>
    <row r="592" ht="15.75" customHeight="1">
      <c r="A592" s="98" t="s">
        <v>1275</v>
      </c>
      <c r="B592" s="87">
        <v>45988.958333333336</v>
      </c>
      <c r="C592" s="92" t="s">
        <v>821</v>
      </c>
      <c r="D592" s="89" t="s">
        <v>1276</v>
      </c>
      <c r="E592" s="90" t="s">
        <v>51</v>
      </c>
      <c r="F592" s="91" t="s">
        <v>1090</v>
      </c>
      <c r="G592" s="62"/>
      <c r="H592" s="62"/>
      <c r="I592" s="58"/>
      <c r="J592" s="58"/>
      <c r="K592" s="58"/>
      <c r="L592" s="58"/>
      <c r="M592" s="58"/>
      <c r="N592" s="8"/>
    </row>
    <row r="593" ht="15.75" customHeight="1">
      <c r="A593" s="98" t="s">
        <v>1249</v>
      </c>
      <c r="B593" s="87">
        <v>45988.958333333336</v>
      </c>
      <c r="C593" s="92" t="s">
        <v>1012</v>
      </c>
      <c r="D593" s="89" t="s">
        <v>1250</v>
      </c>
      <c r="E593" s="90" t="s">
        <v>51</v>
      </c>
      <c r="F593" s="91" t="s">
        <v>1113</v>
      </c>
      <c r="G593" s="62"/>
      <c r="H593" s="62"/>
      <c r="I593" s="58"/>
      <c r="J593" s="58"/>
      <c r="K593" s="58"/>
      <c r="L593" s="58"/>
      <c r="M593" s="58"/>
      <c r="N593" s="8"/>
    </row>
    <row r="594" ht="15.75" customHeight="1">
      <c r="A594" s="98" t="s">
        <v>1277</v>
      </c>
      <c r="B594" s="87">
        <v>45988.958333333336</v>
      </c>
      <c r="C594" s="92" t="s">
        <v>837</v>
      </c>
      <c r="D594" s="89" t="s">
        <v>1278</v>
      </c>
      <c r="E594" s="90" t="s">
        <v>51</v>
      </c>
      <c r="F594" s="91" t="s">
        <v>147</v>
      </c>
      <c r="G594" s="62"/>
      <c r="H594" s="62"/>
      <c r="I594" s="58"/>
      <c r="J594" s="58"/>
      <c r="K594" s="58"/>
      <c r="L594" s="58"/>
      <c r="M594" s="58"/>
      <c r="N594" s="8"/>
    </row>
    <row r="595" ht="15.75" customHeight="1">
      <c r="A595" s="98" t="s">
        <v>1279</v>
      </c>
      <c r="B595" s="87">
        <v>45988.958333333336</v>
      </c>
      <c r="C595" s="92" t="s">
        <v>1280</v>
      </c>
      <c r="D595" s="89" t="s">
        <v>1278</v>
      </c>
      <c r="E595" s="90" t="s">
        <v>51</v>
      </c>
      <c r="F595" s="91" t="s">
        <v>1281</v>
      </c>
      <c r="G595" s="62"/>
      <c r="H595" s="62"/>
      <c r="I595" s="58"/>
      <c r="J595" s="58"/>
      <c r="K595" s="58"/>
      <c r="L595" s="58"/>
      <c r="M595" s="58"/>
      <c r="N595" s="8"/>
    </row>
    <row r="596" ht="15.75" customHeight="1">
      <c r="A596" s="98" t="s">
        <v>1282</v>
      </c>
      <c r="B596" s="87">
        <v>45988.958333333336</v>
      </c>
      <c r="C596" s="92" t="s">
        <v>252</v>
      </c>
      <c r="D596" s="89" t="s">
        <v>1283</v>
      </c>
      <c r="E596" s="90" t="s">
        <v>51</v>
      </c>
      <c r="F596" s="91" t="s">
        <v>487</v>
      </c>
      <c r="G596" s="62"/>
      <c r="H596" s="62"/>
      <c r="I596" s="58"/>
      <c r="J596" s="58"/>
      <c r="K596" s="58"/>
      <c r="L596" s="58"/>
      <c r="M596" s="58"/>
      <c r="N596" s="8"/>
    </row>
    <row r="597" ht="15.75" customHeight="1">
      <c r="A597" s="98" t="s">
        <v>877</v>
      </c>
      <c r="B597" s="87">
        <v>45988.583333333336</v>
      </c>
      <c r="C597" s="88" t="s">
        <v>878</v>
      </c>
      <c r="D597" s="89" t="s">
        <v>1131</v>
      </c>
      <c r="E597" s="90" t="s">
        <v>51</v>
      </c>
      <c r="F597" s="91" t="s">
        <v>1284</v>
      </c>
      <c r="G597" s="62"/>
      <c r="H597" s="62"/>
      <c r="I597" s="58"/>
      <c r="J597" s="58"/>
      <c r="K597" s="58"/>
      <c r="L597" s="58"/>
      <c r="M597" s="58"/>
      <c r="N597" s="8"/>
    </row>
    <row r="598" ht="15.75" customHeight="1">
      <c r="A598" s="98" t="s">
        <v>1285</v>
      </c>
      <c r="B598" s="87">
        <v>45989.958333333336</v>
      </c>
      <c r="C598" s="92" t="s">
        <v>800</v>
      </c>
      <c r="D598" s="89" t="s">
        <v>1286</v>
      </c>
      <c r="E598" s="90" t="s">
        <v>51</v>
      </c>
      <c r="F598" s="91" t="s">
        <v>1269</v>
      </c>
      <c r="G598" s="62"/>
      <c r="H598" s="62"/>
      <c r="I598" s="58"/>
      <c r="J598" s="58"/>
      <c r="K598" s="58"/>
      <c r="L598" s="58"/>
      <c r="M598" s="58"/>
      <c r="N598" s="8"/>
    </row>
    <row r="599" ht="15.75" customHeight="1">
      <c r="A599" s="98" t="s">
        <v>1249</v>
      </c>
      <c r="B599" s="87">
        <v>45989.5</v>
      </c>
      <c r="C599" s="92" t="s">
        <v>1287</v>
      </c>
      <c r="D599" s="89" t="s">
        <v>1250</v>
      </c>
      <c r="E599" s="90" t="s">
        <v>51</v>
      </c>
      <c r="F599" s="91" t="s">
        <v>1113</v>
      </c>
      <c r="G599" s="62"/>
      <c r="H599" s="62"/>
      <c r="I599" s="58"/>
      <c r="J599" s="58"/>
      <c r="K599" s="58"/>
      <c r="L599" s="58"/>
      <c r="M599" s="58"/>
      <c r="N599" s="8"/>
    </row>
    <row r="600" ht="15.75" customHeight="1">
      <c r="A600" s="98" t="s">
        <v>1277</v>
      </c>
      <c r="B600" s="87">
        <v>45989.958333333336</v>
      </c>
      <c r="C600" s="92" t="s">
        <v>155</v>
      </c>
      <c r="D600" s="89" t="s">
        <v>1278</v>
      </c>
      <c r="E600" s="90" t="s">
        <v>51</v>
      </c>
      <c r="F600" s="91" t="s">
        <v>147</v>
      </c>
      <c r="G600" s="62"/>
      <c r="H600" s="62"/>
      <c r="I600" s="58"/>
      <c r="J600" s="58"/>
      <c r="K600" s="58"/>
      <c r="L600" s="58"/>
      <c r="M600" s="58"/>
      <c r="N600" s="8"/>
    </row>
    <row r="601" ht="15.75" customHeight="1">
      <c r="A601" s="98" t="s">
        <v>1288</v>
      </c>
      <c r="B601" s="87">
        <v>45989.75</v>
      </c>
      <c r="C601" s="88" t="s">
        <v>1194</v>
      </c>
      <c r="D601" s="89" t="s">
        <v>1289</v>
      </c>
      <c r="E601" s="90" t="s">
        <v>51</v>
      </c>
      <c r="F601" s="91" t="s">
        <v>1290</v>
      </c>
      <c r="G601" s="62"/>
      <c r="H601" s="62"/>
      <c r="I601" s="58"/>
      <c r="J601" s="58"/>
      <c r="K601" s="58"/>
      <c r="L601" s="58"/>
      <c r="M601" s="58"/>
      <c r="N601" s="8"/>
    </row>
    <row r="602" ht="15.75" customHeight="1">
      <c r="A602" s="98" t="s">
        <v>1291</v>
      </c>
      <c r="B602" s="87">
        <v>45990.958333333336</v>
      </c>
      <c r="C602" s="92" t="s">
        <v>180</v>
      </c>
      <c r="D602" s="89" t="s">
        <v>1292</v>
      </c>
      <c r="E602" s="90" t="s">
        <v>51</v>
      </c>
      <c r="F602" s="91" t="s">
        <v>1293</v>
      </c>
      <c r="G602" s="62"/>
      <c r="H602" s="62"/>
      <c r="I602" s="58"/>
      <c r="J602" s="58"/>
      <c r="K602" s="58"/>
      <c r="L602" s="58"/>
      <c r="M602" s="58"/>
      <c r="N602" s="8"/>
    </row>
    <row r="603" ht="15.75" customHeight="1">
      <c r="A603" s="98" t="s">
        <v>1294</v>
      </c>
      <c r="B603" s="87">
        <v>45989.75</v>
      </c>
      <c r="C603" s="92" t="s">
        <v>1295</v>
      </c>
      <c r="D603" s="89" t="s">
        <v>1296</v>
      </c>
      <c r="E603" s="90" t="s">
        <v>51</v>
      </c>
      <c r="F603" s="91" t="s">
        <v>1113</v>
      </c>
      <c r="G603" s="62"/>
      <c r="H603" s="62"/>
      <c r="I603" s="58"/>
      <c r="J603" s="58"/>
      <c r="K603" s="58"/>
      <c r="L603" s="58"/>
      <c r="M603" s="58"/>
      <c r="N603" s="8"/>
    </row>
    <row r="604" ht="15.75" customHeight="1">
      <c r="A604" s="98" t="s">
        <v>1297</v>
      </c>
      <c r="B604" s="87">
        <v>45989.791666666664</v>
      </c>
      <c r="C604" s="92" t="s">
        <v>1298</v>
      </c>
      <c r="D604" s="89" t="s">
        <v>1299</v>
      </c>
      <c r="E604" s="90" t="s">
        <v>51</v>
      </c>
      <c r="F604" s="91" t="s">
        <v>698</v>
      </c>
      <c r="G604" s="62"/>
      <c r="H604" s="62"/>
      <c r="I604" s="58"/>
      <c r="J604" s="58"/>
      <c r="K604" s="58"/>
      <c r="L604" s="58"/>
      <c r="M604" s="58"/>
      <c r="N604" s="8"/>
    </row>
    <row r="605" ht="15.75" customHeight="1">
      <c r="A605" s="100" t="s">
        <v>1300</v>
      </c>
      <c r="B605" s="101" t="s">
        <v>1301</v>
      </c>
      <c r="C605" s="101" t="s">
        <v>1082</v>
      </c>
      <c r="D605" s="101" t="s">
        <v>1082</v>
      </c>
      <c r="E605" s="90" t="s">
        <v>51</v>
      </c>
      <c r="F605" s="102" t="s">
        <v>1302</v>
      </c>
      <c r="G605" s="62"/>
      <c r="H605" s="62"/>
      <c r="I605" s="64"/>
      <c r="J605" s="58"/>
      <c r="K605" s="58"/>
      <c r="L605" s="58"/>
      <c r="M605" s="58"/>
      <c r="N605" s="8"/>
    </row>
    <row r="606" ht="15.75" customHeight="1">
      <c r="A606" s="98" t="s">
        <v>1114</v>
      </c>
      <c r="B606" s="87">
        <v>45990.958333333336</v>
      </c>
      <c r="C606" s="88" t="s">
        <v>851</v>
      </c>
      <c r="D606" s="89" t="s">
        <v>1115</v>
      </c>
      <c r="E606" s="90" t="s">
        <v>51</v>
      </c>
      <c r="F606" s="91" t="s">
        <v>514</v>
      </c>
      <c r="G606" s="62"/>
      <c r="H606" s="62"/>
      <c r="I606" s="58"/>
      <c r="J606" s="58"/>
      <c r="K606" s="58"/>
      <c r="L606" s="58"/>
      <c r="M606" s="58"/>
      <c r="N606" s="8"/>
    </row>
    <row r="607" ht="15.75" customHeight="1">
      <c r="A607" s="98" t="s">
        <v>1303</v>
      </c>
      <c r="B607" s="87">
        <v>45990.75</v>
      </c>
      <c r="C607" s="88" t="s">
        <v>175</v>
      </c>
      <c r="D607" s="89" t="s">
        <v>1304</v>
      </c>
      <c r="E607" s="90" t="s">
        <v>51</v>
      </c>
      <c r="F607" s="91" t="s">
        <v>1305</v>
      </c>
      <c r="G607" s="62"/>
      <c r="H607" s="62"/>
      <c r="I607" s="58"/>
      <c r="J607" s="58"/>
      <c r="K607" s="58"/>
      <c r="L607" s="58"/>
      <c r="M607" s="58"/>
      <c r="N607" s="8"/>
    </row>
    <row r="608" ht="15.75" customHeight="1">
      <c r="A608" s="86" t="s">
        <v>1306</v>
      </c>
      <c r="B608" s="87">
        <v>45990.958333333336</v>
      </c>
      <c r="C608" s="88" t="s">
        <v>252</v>
      </c>
      <c r="D608" s="89" t="s">
        <v>1307</v>
      </c>
      <c r="E608" s="90" t="s">
        <v>51</v>
      </c>
      <c r="F608" s="91" t="s">
        <v>1308</v>
      </c>
      <c r="G608" s="62"/>
      <c r="H608" s="62"/>
      <c r="I608" s="58"/>
      <c r="J608" s="58"/>
      <c r="K608" s="58"/>
      <c r="L608" s="58"/>
      <c r="M608" s="58"/>
      <c r="N608" s="8"/>
    </row>
    <row r="609" ht="15.75" customHeight="1">
      <c r="A609" s="86" t="s">
        <v>1170</v>
      </c>
      <c r="B609" s="87">
        <v>45992.75</v>
      </c>
      <c r="C609" s="104" t="s">
        <v>968</v>
      </c>
      <c r="D609" s="89" t="s">
        <v>1309</v>
      </c>
      <c r="E609" s="105" t="s">
        <v>51</v>
      </c>
      <c r="F609" s="106" t="s">
        <v>1310</v>
      </c>
      <c r="G609" s="62"/>
      <c r="H609" s="62"/>
      <c r="I609" s="107"/>
      <c r="J609" s="58"/>
      <c r="K609" s="58"/>
      <c r="L609" s="58"/>
      <c r="M609" s="58"/>
      <c r="N609" s="8"/>
    </row>
    <row r="610" ht="15.75" customHeight="1">
      <c r="A610" s="86" t="s">
        <v>1311</v>
      </c>
      <c r="B610" s="87">
        <v>45992.5</v>
      </c>
      <c r="C610" s="104" t="s">
        <v>1312</v>
      </c>
      <c r="D610" s="89" t="s">
        <v>1092</v>
      </c>
      <c r="E610" s="105" t="s">
        <v>51</v>
      </c>
      <c r="F610" s="91" t="s">
        <v>1313</v>
      </c>
      <c r="G610" s="62"/>
      <c r="H610" s="62"/>
      <c r="I610" s="107"/>
      <c r="J610" s="58"/>
      <c r="K610" s="58"/>
      <c r="L610" s="58"/>
      <c r="M610" s="58"/>
      <c r="N610" s="8"/>
    </row>
    <row r="611" ht="15.75" customHeight="1">
      <c r="A611" s="86" t="s">
        <v>1077</v>
      </c>
      <c r="B611" s="87">
        <v>45992.729166666664</v>
      </c>
      <c r="C611" s="104" t="s">
        <v>979</v>
      </c>
      <c r="D611" s="89" t="s">
        <v>1314</v>
      </c>
      <c r="E611" s="105" t="s">
        <v>51</v>
      </c>
      <c r="F611" s="106" t="s">
        <v>1315</v>
      </c>
      <c r="G611" s="62"/>
      <c r="H611" s="62"/>
      <c r="I611" s="107"/>
      <c r="J611" s="58"/>
      <c r="K611" s="58"/>
      <c r="L611" s="58"/>
      <c r="M611" s="58"/>
      <c r="N611" s="8"/>
    </row>
    <row r="612" ht="15.75" customHeight="1">
      <c r="A612" s="86" t="s">
        <v>1316</v>
      </c>
      <c r="B612" s="87">
        <v>45992.75</v>
      </c>
      <c r="C612" s="104" t="s">
        <v>189</v>
      </c>
      <c r="D612" s="89" t="s">
        <v>490</v>
      </c>
      <c r="E612" s="105" t="s">
        <v>51</v>
      </c>
      <c r="F612" s="106" t="s">
        <v>490</v>
      </c>
      <c r="G612" s="62"/>
      <c r="H612" s="62"/>
      <c r="I612" s="107"/>
      <c r="J612" s="58"/>
      <c r="K612" s="58"/>
      <c r="L612" s="58"/>
      <c r="M612" s="58"/>
      <c r="N612" s="8"/>
    </row>
    <row r="613" ht="15.75" customHeight="1">
      <c r="A613" s="86" t="s">
        <v>1006</v>
      </c>
      <c r="B613" s="87">
        <v>45992.625</v>
      </c>
      <c r="C613" s="104" t="s">
        <v>1008</v>
      </c>
      <c r="D613" s="89" t="s">
        <v>490</v>
      </c>
      <c r="E613" s="105" t="s">
        <v>51</v>
      </c>
      <c r="F613" s="106" t="s">
        <v>490</v>
      </c>
      <c r="G613" s="62"/>
      <c r="H613" s="62"/>
      <c r="I613" s="107"/>
      <c r="J613" s="58"/>
      <c r="K613" s="58"/>
      <c r="L613" s="58"/>
      <c r="M613" s="58"/>
      <c r="N613" s="8"/>
    </row>
    <row r="614" ht="15.75" customHeight="1">
      <c r="A614" s="86" t="s">
        <v>1317</v>
      </c>
      <c r="B614" s="87">
        <v>45993.541666666664</v>
      </c>
      <c r="C614" s="104" t="s">
        <v>175</v>
      </c>
      <c r="D614" s="89" t="s">
        <v>490</v>
      </c>
      <c r="E614" s="105" t="s">
        <v>51</v>
      </c>
      <c r="F614" s="106" t="s">
        <v>490</v>
      </c>
      <c r="G614" s="62"/>
      <c r="H614" s="62"/>
      <c r="I614" s="107"/>
      <c r="J614" s="58"/>
      <c r="K614" s="58"/>
      <c r="L614" s="58"/>
      <c r="M614" s="58"/>
      <c r="N614" s="8"/>
    </row>
    <row r="615" ht="15.75" customHeight="1">
      <c r="A615" s="86" t="s">
        <v>1318</v>
      </c>
      <c r="B615" s="87">
        <v>45993.5</v>
      </c>
      <c r="C615" s="104" t="s">
        <v>252</v>
      </c>
      <c r="D615" s="89" t="s">
        <v>490</v>
      </c>
      <c r="E615" s="105" t="s">
        <v>51</v>
      </c>
      <c r="F615" s="106" t="s">
        <v>490</v>
      </c>
      <c r="G615" s="62"/>
      <c r="H615" s="62"/>
      <c r="I615" s="107"/>
      <c r="J615" s="58"/>
      <c r="K615" s="58"/>
      <c r="L615" s="58"/>
      <c r="M615" s="58"/>
      <c r="N615" s="8"/>
    </row>
    <row r="616" ht="15.75" customHeight="1">
      <c r="A616" s="86" t="s">
        <v>1319</v>
      </c>
      <c r="B616" s="87">
        <v>45993.6875</v>
      </c>
      <c r="C616" s="104" t="s">
        <v>979</v>
      </c>
      <c r="D616" s="89" t="s">
        <v>377</v>
      </c>
      <c r="E616" s="105" t="s">
        <v>51</v>
      </c>
      <c r="F616" s="91" t="s">
        <v>1320</v>
      </c>
      <c r="G616" s="62"/>
      <c r="H616" s="62"/>
      <c r="I616" s="107"/>
      <c r="J616" s="58"/>
      <c r="K616" s="58"/>
      <c r="L616" s="58"/>
      <c r="M616" s="58"/>
      <c r="N616" s="8"/>
    </row>
    <row r="617" ht="15.75" customHeight="1">
      <c r="A617" s="86" t="s">
        <v>1321</v>
      </c>
      <c r="B617" s="87">
        <v>45993.416666666664</v>
      </c>
      <c r="C617" s="104" t="s">
        <v>1194</v>
      </c>
      <c r="D617" s="89" t="s">
        <v>377</v>
      </c>
      <c r="E617" s="105" t="s">
        <v>51</v>
      </c>
      <c r="F617" s="106" t="s">
        <v>1322</v>
      </c>
      <c r="G617" s="62"/>
      <c r="H617" s="62"/>
      <c r="I617" s="107"/>
      <c r="J617" s="58"/>
      <c r="K617" s="58"/>
      <c r="L617" s="58"/>
      <c r="M617" s="58"/>
      <c r="N617" s="8"/>
    </row>
    <row r="618" ht="15.75" customHeight="1">
      <c r="A618" s="86" t="s">
        <v>1323</v>
      </c>
      <c r="B618" s="87">
        <v>45993.4375</v>
      </c>
      <c r="C618" s="104" t="s">
        <v>1194</v>
      </c>
      <c r="D618" s="89" t="s">
        <v>377</v>
      </c>
      <c r="E618" s="105" t="s">
        <v>51</v>
      </c>
      <c r="F618" s="91" t="s">
        <v>1324</v>
      </c>
      <c r="G618" s="62"/>
      <c r="H618" s="62"/>
      <c r="I618" s="107"/>
      <c r="J618" s="58"/>
      <c r="K618" s="58"/>
      <c r="L618" s="58"/>
      <c r="M618" s="58"/>
      <c r="N618" s="8"/>
    </row>
    <row r="619" ht="15.75" customHeight="1">
      <c r="A619" s="86" t="s">
        <v>1325</v>
      </c>
      <c r="B619" s="87">
        <v>45993.458333333336</v>
      </c>
      <c r="C619" s="104" t="s">
        <v>1194</v>
      </c>
      <c r="D619" s="89" t="s">
        <v>1192</v>
      </c>
      <c r="E619" s="105" t="s">
        <v>51</v>
      </c>
      <c r="F619" s="91" t="s">
        <v>1326</v>
      </c>
      <c r="G619" s="62"/>
      <c r="H619" s="62"/>
      <c r="I619" s="107"/>
      <c r="J619" s="58"/>
      <c r="K619" s="58"/>
      <c r="L619" s="58"/>
      <c r="M619" s="58"/>
      <c r="N619" s="8"/>
    </row>
    <row r="620" ht="15.75" customHeight="1">
      <c r="A620" s="86" t="s">
        <v>1327</v>
      </c>
      <c r="B620" s="87">
        <v>45993.479166666664</v>
      </c>
      <c r="C620" s="104" t="s">
        <v>1194</v>
      </c>
      <c r="D620" s="89" t="s">
        <v>444</v>
      </c>
      <c r="E620" s="105" t="s">
        <v>51</v>
      </c>
      <c r="F620" s="91" t="s">
        <v>1328</v>
      </c>
      <c r="G620" s="62"/>
      <c r="H620" s="62"/>
      <c r="I620" s="107"/>
      <c r="J620" s="58"/>
      <c r="K620" s="58"/>
      <c r="L620" s="58"/>
      <c r="M620" s="58"/>
      <c r="N620" s="8"/>
    </row>
    <row r="621" ht="15.75" customHeight="1">
      <c r="A621" s="86" t="s">
        <v>1329</v>
      </c>
      <c r="B621" s="87">
        <v>45993.666666666664</v>
      </c>
      <c r="C621" s="104" t="s">
        <v>1330</v>
      </c>
      <c r="D621" s="89" t="s">
        <v>377</v>
      </c>
      <c r="E621" s="105" t="s">
        <v>51</v>
      </c>
      <c r="F621" s="91" t="s">
        <v>1331</v>
      </c>
      <c r="G621" s="62"/>
      <c r="H621" s="62"/>
      <c r="I621" s="107"/>
      <c r="J621" s="58"/>
      <c r="K621" s="58"/>
      <c r="L621" s="58"/>
      <c r="M621" s="58"/>
      <c r="N621" s="8"/>
    </row>
    <row r="622" ht="15.75" customHeight="1">
      <c r="A622" s="86" t="s">
        <v>1038</v>
      </c>
      <c r="B622" s="87">
        <v>45993.708333333336</v>
      </c>
      <c r="C622" s="104" t="s">
        <v>1332</v>
      </c>
      <c r="D622" s="89" t="s">
        <v>1333</v>
      </c>
      <c r="E622" s="105" t="s">
        <v>51</v>
      </c>
      <c r="F622" s="91" t="s">
        <v>1334</v>
      </c>
      <c r="G622" s="62"/>
      <c r="H622" s="62"/>
      <c r="I622" s="107"/>
      <c r="J622" s="58"/>
      <c r="K622" s="58"/>
      <c r="L622" s="58"/>
      <c r="M622" s="58"/>
      <c r="N622" s="8"/>
    </row>
    <row r="623" ht="15.75" customHeight="1">
      <c r="A623" s="86" t="s">
        <v>778</v>
      </c>
      <c r="B623" s="87">
        <v>45994.958333333336</v>
      </c>
      <c r="C623" s="104" t="s">
        <v>800</v>
      </c>
      <c r="D623" s="108" t="s">
        <v>1335</v>
      </c>
      <c r="E623" s="105" t="s">
        <v>51</v>
      </c>
      <c r="F623" s="109" t="s">
        <v>514</v>
      </c>
      <c r="G623" s="62"/>
      <c r="H623" s="62"/>
      <c r="I623" s="107"/>
      <c r="J623" s="58"/>
      <c r="K623" s="58"/>
      <c r="L623" s="58"/>
      <c r="M623" s="58"/>
      <c r="N623" s="8"/>
    </row>
    <row r="624" ht="15.75" customHeight="1">
      <c r="A624" s="86" t="s">
        <v>1336</v>
      </c>
      <c r="B624" s="87">
        <v>45994.75</v>
      </c>
      <c r="C624" s="104" t="s">
        <v>1012</v>
      </c>
      <c r="D624" s="108" t="s">
        <v>998</v>
      </c>
      <c r="E624" s="105" t="s">
        <v>51</v>
      </c>
      <c r="F624" s="109" t="s">
        <v>164</v>
      </c>
      <c r="G624" s="62"/>
      <c r="H624" s="62"/>
      <c r="I624" s="107"/>
      <c r="J624" s="58"/>
      <c r="K624" s="58"/>
      <c r="L624" s="58"/>
      <c r="M624" s="58"/>
      <c r="N624" s="8"/>
    </row>
    <row r="625" ht="15.75" customHeight="1">
      <c r="A625" s="86" t="s">
        <v>1337</v>
      </c>
      <c r="B625" s="87">
        <v>45994.958333333336</v>
      </c>
      <c r="C625" s="104" t="s">
        <v>821</v>
      </c>
      <c r="D625" s="108" t="s">
        <v>1338</v>
      </c>
      <c r="E625" s="105" t="s">
        <v>51</v>
      </c>
      <c r="F625" s="109" t="s">
        <v>1339</v>
      </c>
      <c r="G625" s="62"/>
      <c r="H625" s="62"/>
      <c r="I625" s="107"/>
      <c r="J625" s="58"/>
      <c r="K625" s="58"/>
      <c r="L625" s="58"/>
      <c r="M625" s="58"/>
      <c r="N625" s="8"/>
    </row>
    <row r="626" ht="15.75" customHeight="1">
      <c r="A626" s="86" t="s">
        <v>1340</v>
      </c>
      <c r="B626" s="87">
        <v>45994.583333333336</v>
      </c>
      <c r="C626" s="104" t="s">
        <v>968</v>
      </c>
      <c r="D626" s="108" t="s">
        <v>1341</v>
      </c>
      <c r="E626" s="105" t="s">
        <v>51</v>
      </c>
      <c r="F626" s="109" t="s">
        <v>514</v>
      </c>
      <c r="G626" s="62"/>
      <c r="H626" s="62"/>
      <c r="I626" s="107"/>
      <c r="J626" s="58"/>
      <c r="K626" s="58"/>
      <c r="L626" s="58"/>
      <c r="M626" s="58"/>
      <c r="N626" s="8"/>
    </row>
    <row r="627" ht="15.75" customHeight="1">
      <c r="A627" s="86" t="s">
        <v>1342</v>
      </c>
      <c r="B627" s="87">
        <v>45994.541666666664</v>
      </c>
      <c r="C627" s="104" t="s">
        <v>918</v>
      </c>
      <c r="D627" s="108" t="s">
        <v>1343</v>
      </c>
      <c r="E627" s="105" t="s">
        <v>51</v>
      </c>
      <c r="F627" s="109" t="s">
        <v>725</v>
      </c>
      <c r="G627" s="62"/>
      <c r="H627" s="62"/>
      <c r="I627" s="107"/>
      <c r="J627" s="58"/>
      <c r="K627" s="58"/>
      <c r="L627" s="58"/>
      <c r="M627" s="58"/>
      <c r="N627" s="8"/>
    </row>
    <row r="628" ht="15.75" customHeight="1">
      <c r="A628" s="86" t="s">
        <v>1344</v>
      </c>
      <c r="B628" s="87">
        <v>45994.583333333336</v>
      </c>
      <c r="C628" s="104" t="s">
        <v>186</v>
      </c>
      <c r="D628" s="108" t="s">
        <v>1345</v>
      </c>
      <c r="E628" s="105" t="s">
        <v>51</v>
      </c>
      <c r="F628" s="109" t="s">
        <v>1346</v>
      </c>
      <c r="G628" s="62"/>
      <c r="H628" s="62"/>
      <c r="I628" s="107"/>
      <c r="J628" s="58"/>
      <c r="K628" s="58"/>
      <c r="L628" s="58"/>
      <c r="M628" s="58"/>
      <c r="N628" s="8"/>
    </row>
    <row r="629" ht="15.75" customHeight="1">
      <c r="A629" s="86" t="s">
        <v>1347</v>
      </c>
      <c r="B629" s="87">
        <v>45994.666666666664</v>
      </c>
      <c r="C629" s="104" t="s">
        <v>252</v>
      </c>
      <c r="D629" s="108" t="s">
        <v>1348</v>
      </c>
      <c r="E629" s="105" t="s">
        <v>51</v>
      </c>
      <c r="F629" s="109" t="s">
        <v>444</v>
      </c>
      <c r="G629" s="62"/>
      <c r="H629" s="62"/>
      <c r="I629" s="107"/>
      <c r="J629" s="58"/>
      <c r="K629" s="58"/>
      <c r="L629" s="58"/>
      <c r="M629" s="58"/>
      <c r="N629" s="8"/>
    </row>
    <row r="630" ht="15.75" customHeight="1">
      <c r="A630" s="86" t="s">
        <v>1349</v>
      </c>
      <c r="B630" s="87">
        <v>45994.708333333336</v>
      </c>
      <c r="C630" s="104" t="s">
        <v>1008</v>
      </c>
      <c r="D630" s="108" t="s">
        <v>1350</v>
      </c>
      <c r="E630" s="105" t="s">
        <v>51</v>
      </c>
      <c r="F630" s="109" t="s">
        <v>1351</v>
      </c>
      <c r="G630" s="62"/>
      <c r="H630" s="62"/>
      <c r="I630" s="107"/>
      <c r="J630" s="58"/>
      <c r="K630" s="58"/>
      <c r="L630" s="58"/>
      <c r="M630" s="58"/>
      <c r="N630" s="8"/>
    </row>
    <row r="631" ht="15.75" customHeight="1">
      <c r="A631" s="86" t="s">
        <v>1352</v>
      </c>
      <c r="B631" s="87">
        <v>45994.666666666664</v>
      </c>
      <c r="C631" s="104" t="s">
        <v>979</v>
      </c>
      <c r="D631" s="108" t="s">
        <v>1353</v>
      </c>
      <c r="E631" s="105" t="s">
        <v>51</v>
      </c>
      <c r="F631" s="109" t="s">
        <v>1354</v>
      </c>
      <c r="G631" s="62"/>
      <c r="H631" s="62"/>
      <c r="I631" s="107"/>
      <c r="J631" s="58"/>
      <c r="K631" s="58"/>
      <c r="L631" s="58"/>
      <c r="M631" s="58"/>
      <c r="N631" s="8"/>
    </row>
    <row r="632" ht="15.75" customHeight="1">
      <c r="A632" s="86" t="s">
        <v>1355</v>
      </c>
      <c r="B632" s="87">
        <v>45994.958333333336</v>
      </c>
      <c r="C632" s="104" t="s">
        <v>252</v>
      </c>
      <c r="D632" s="108" t="s">
        <v>841</v>
      </c>
      <c r="E632" s="105" t="s">
        <v>51</v>
      </c>
      <c r="F632" s="109" t="s">
        <v>164</v>
      </c>
      <c r="G632" s="62"/>
      <c r="H632" s="62"/>
      <c r="I632" s="107"/>
      <c r="J632" s="58"/>
      <c r="K632" s="58"/>
      <c r="L632" s="58"/>
      <c r="M632" s="58"/>
      <c r="N632" s="8"/>
    </row>
    <row r="633" ht="15.75" customHeight="1">
      <c r="A633" s="86" t="s">
        <v>1356</v>
      </c>
      <c r="B633" s="87">
        <v>45995.958333333336</v>
      </c>
      <c r="C633" s="104" t="s">
        <v>800</v>
      </c>
      <c r="D633" s="108" t="s">
        <v>1357</v>
      </c>
      <c r="E633" s="105" t="s">
        <v>51</v>
      </c>
      <c r="F633" s="109" t="s">
        <v>421</v>
      </c>
      <c r="G633" s="62"/>
      <c r="H633" s="62"/>
      <c r="I633" s="107"/>
      <c r="J633" s="58"/>
      <c r="K633" s="58"/>
      <c r="L633" s="58"/>
      <c r="M633" s="58"/>
      <c r="N633" s="8"/>
    </row>
    <row r="634" ht="15.75" customHeight="1">
      <c r="A634" s="86" t="s">
        <v>1119</v>
      </c>
      <c r="B634" s="87">
        <v>45995.770833333336</v>
      </c>
      <c r="C634" s="104" t="s">
        <v>878</v>
      </c>
      <c r="D634" s="108" t="s">
        <v>1358</v>
      </c>
      <c r="E634" s="105" t="s">
        <v>51</v>
      </c>
      <c r="F634" s="109" t="s">
        <v>1333</v>
      </c>
      <c r="G634" s="62"/>
      <c r="H634" s="62"/>
      <c r="I634" s="107"/>
      <c r="J634" s="58"/>
      <c r="K634" s="58"/>
      <c r="L634" s="58"/>
      <c r="M634" s="58"/>
      <c r="N634" s="8"/>
    </row>
    <row r="635" ht="15.75" customHeight="1">
      <c r="A635" s="86" t="s">
        <v>1359</v>
      </c>
      <c r="B635" s="87">
        <v>45995.75</v>
      </c>
      <c r="C635" s="104" t="s">
        <v>1330</v>
      </c>
      <c r="D635" s="108" t="s">
        <v>1360</v>
      </c>
      <c r="E635" s="105" t="s">
        <v>51</v>
      </c>
      <c r="F635" s="109" t="s">
        <v>1361</v>
      </c>
      <c r="G635" s="62"/>
      <c r="H635" s="62"/>
      <c r="I635" s="107"/>
      <c r="J635" s="58"/>
      <c r="K635" s="58"/>
      <c r="L635" s="58"/>
      <c r="M635" s="58"/>
      <c r="N635" s="8"/>
    </row>
    <row r="636" ht="15.75" customHeight="1">
      <c r="A636" s="86" t="s">
        <v>1362</v>
      </c>
      <c r="B636" s="87">
        <v>45995.708333333336</v>
      </c>
      <c r="C636" s="104" t="s">
        <v>1008</v>
      </c>
      <c r="D636" s="108" t="s">
        <v>1363</v>
      </c>
      <c r="E636" s="105" t="s">
        <v>51</v>
      </c>
      <c r="F636" s="109" t="s">
        <v>1364</v>
      </c>
      <c r="G636" s="62"/>
      <c r="H636" s="62"/>
      <c r="I636" s="107"/>
      <c r="J636" s="58"/>
      <c r="K636" s="58"/>
      <c r="L636" s="58"/>
      <c r="M636" s="58"/>
      <c r="N636" s="8"/>
    </row>
    <row r="637" ht="15.75" customHeight="1">
      <c r="A637" s="86" t="s">
        <v>1038</v>
      </c>
      <c r="B637" s="87">
        <v>45995.75</v>
      </c>
      <c r="C637" s="104" t="s">
        <v>949</v>
      </c>
      <c r="D637" s="108" t="s">
        <v>1365</v>
      </c>
      <c r="E637" s="105" t="s">
        <v>51</v>
      </c>
      <c r="F637" s="109" t="s">
        <v>514</v>
      </c>
      <c r="G637" s="62"/>
      <c r="H637" s="62"/>
      <c r="I637" s="107"/>
      <c r="J637" s="58"/>
      <c r="K637" s="58"/>
      <c r="L637" s="58"/>
      <c r="M637" s="58"/>
      <c r="N637" s="8"/>
    </row>
    <row r="638" ht="15.75" customHeight="1">
      <c r="A638" s="86" t="s">
        <v>881</v>
      </c>
      <c r="B638" s="87">
        <v>45996.541666666664</v>
      </c>
      <c r="C638" s="88" t="s">
        <v>1030</v>
      </c>
      <c r="D638" s="108" t="s">
        <v>1366</v>
      </c>
      <c r="E638" s="105" t="s">
        <v>51</v>
      </c>
      <c r="F638" s="109" t="s">
        <v>514</v>
      </c>
      <c r="G638" s="62"/>
      <c r="H638" s="62"/>
      <c r="I638" s="107"/>
      <c r="J638" s="58"/>
      <c r="K638" s="58"/>
      <c r="L638" s="58"/>
      <c r="M638" s="58"/>
      <c r="N638" s="8"/>
    </row>
    <row r="639" ht="15.75" customHeight="1">
      <c r="A639" s="86" t="s">
        <v>1367</v>
      </c>
      <c r="B639" s="87">
        <v>45996.958333333336</v>
      </c>
      <c r="C639" s="88" t="s">
        <v>180</v>
      </c>
      <c r="D639" s="108" t="s">
        <v>1368</v>
      </c>
      <c r="E639" s="105" t="s">
        <v>51</v>
      </c>
      <c r="F639" s="109" t="s">
        <v>418</v>
      </c>
      <c r="G639" s="62"/>
      <c r="H639" s="62"/>
      <c r="I639" s="107"/>
      <c r="J639" s="58"/>
      <c r="K639" s="58"/>
      <c r="L639" s="58"/>
      <c r="M639" s="58"/>
      <c r="N639" s="8"/>
    </row>
    <row r="640" ht="15.75" customHeight="1">
      <c r="A640" s="86" t="s">
        <v>1369</v>
      </c>
      <c r="B640" s="87">
        <v>45996.833333333336</v>
      </c>
      <c r="C640" s="88" t="s">
        <v>1008</v>
      </c>
      <c r="D640" s="108" t="s">
        <v>1370</v>
      </c>
      <c r="E640" s="105" t="s">
        <v>51</v>
      </c>
      <c r="F640" s="109" t="s">
        <v>514</v>
      </c>
      <c r="G640" s="62"/>
      <c r="H640" s="62"/>
      <c r="I640" s="107"/>
      <c r="J640" s="58"/>
      <c r="K640" s="58"/>
      <c r="L640" s="58"/>
      <c r="M640" s="58"/>
      <c r="N640" s="8"/>
    </row>
    <row r="641" ht="15.75" customHeight="1">
      <c r="A641" s="86" t="s">
        <v>1371</v>
      </c>
      <c r="B641" s="87">
        <v>45996.708333333336</v>
      </c>
      <c r="C641" s="88" t="s">
        <v>968</v>
      </c>
      <c r="D641" s="108" t="s">
        <v>1372</v>
      </c>
      <c r="E641" s="105" t="s">
        <v>51</v>
      </c>
      <c r="F641" s="109" t="s">
        <v>157</v>
      </c>
      <c r="G641" s="62"/>
      <c r="H641" s="62"/>
      <c r="I641" s="107"/>
      <c r="J641" s="58"/>
      <c r="K641" s="58"/>
      <c r="L641" s="58"/>
      <c r="M641" s="58"/>
      <c r="N641" s="8"/>
    </row>
    <row r="642" ht="15.75" customHeight="1">
      <c r="A642" s="86" t="s">
        <v>1158</v>
      </c>
      <c r="B642" s="87">
        <v>45996.75</v>
      </c>
      <c r="C642" s="104" t="s">
        <v>1373</v>
      </c>
      <c r="D642" s="108" t="s">
        <v>1374</v>
      </c>
      <c r="E642" s="105" t="s">
        <v>51</v>
      </c>
      <c r="F642" s="109" t="s">
        <v>520</v>
      </c>
      <c r="G642" s="62"/>
      <c r="H642" s="62"/>
      <c r="I642" s="107"/>
      <c r="J642" s="58"/>
      <c r="K642" s="58"/>
      <c r="L642" s="58"/>
      <c r="M642" s="58"/>
      <c r="N642" s="8"/>
    </row>
    <row r="643" ht="15.75" customHeight="1">
      <c r="A643" s="86" t="s">
        <v>1375</v>
      </c>
      <c r="B643" s="87">
        <v>45996.583333333336</v>
      </c>
      <c r="C643" s="104" t="s">
        <v>979</v>
      </c>
      <c r="D643" s="108" t="s">
        <v>1376</v>
      </c>
      <c r="E643" s="105" t="s">
        <v>51</v>
      </c>
      <c r="F643" s="109" t="s">
        <v>153</v>
      </c>
      <c r="G643" s="62"/>
      <c r="H643" s="62"/>
      <c r="I643" s="107"/>
      <c r="J643" s="58"/>
      <c r="K643" s="58"/>
      <c r="L643" s="58"/>
      <c r="M643" s="58"/>
      <c r="N643" s="8"/>
    </row>
    <row r="644" ht="15.75" customHeight="1">
      <c r="A644" s="86" t="s">
        <v>1377</v>
      </c>
      <c r="B644" s="87">
        <v>45996.75</v>
      </c>
      <c r="C644" s="104" t="s">
        <v>1378</v>
      </c>
      <c r="D644" s="108" t="s">
        <v>1365</v>
      </c>
      <c r="E644" s="105" t="s">
        <v>51</v>
      </c>
      <c r="F644" s="109" t="s">
        <v>1379</v>
      </c>
      <c r="G644" s="62"/>
      <c r="H644" s="62"/>
      <c r="I644" s="107"/>
      <c r="J644" s="58"/>
      <c r="K644" s="58"/>
      <c r="L644" s="58"/>
      <c r="M644" s="58"/>
      <c r="N644" s="8"/>
    </row>
    <row r="645" ht="15.75" customHeight="1">
      <c r="A645" s="86" t="s">
        <v>1380</v>
      </c>
      <c r="B645" s="87">
        <v>45996.708333333336</v>
      </c>
      <c r="C645" s="104" t="s">
        <v>961</v>
      </c>
      <c r="D645" s="108" t="s">
        <v>998</v>
      </c>
      <c r="E645" s="105" t="s">
        <v>51</v>
      </c>
      <c r="F645" s="109" t="s">
        <v>514</v>
      </c>
      <c r="G645" s="62"/>
      <c r="H645" s="62"/>
      <c r="I645" s="107"/>
      <c r="J645" s="58"/>
      <c r="K645" s="58"/>
      <c r="L645" s="58"/>
      <c r="M645" s="58"/>
      <c r="N645" s="8"/>
    </row>
    <row r="646" ht="15.75" customHeight="1">
      <c r="A646" s="86" t="s">
        <v>1381</v>
      </c>
      <c r="B646" s="87">
        <v>45996.708333333336</v>
      </c>
      <c r="C646" s="104" t="s">
        <v>1330</v>
      </c>
      <c r="D646" s="108" t="s">
        <v>1382</v>
      </c>
      <c r="E646" s="105" t="s">
        <v>51</v>
      </c>
      <c r="F646" s="109" t="s">
        <v>514</v>
      </c>
      <c r="G646" s="62"/>
      <c r="H646" s="62"/>
      <c r="I646" s="107"/>
      <c r="J646" s="58"/>
      <c r="K646" s="58"/>
      <c r="L646" s="58"/>
      <c r="M646" s="58"/>
      <c r="N646" s="8"/>
    </row>
    <row r="647" ht="15.75" customHeight="1">
      <c r="A647" s="86" t="s">
        <v>1383</v>
      </c>
      <c r="B647" s="87">
        <v>45996.916666666664</v>
      </c>
      <c r="C647" s="104" t="s">
        <v>252</v>
      </c>
      <c r="D647" s="108" t="s">
        <v>1384</v>
      </c>
      <c r="E647" s="105" t="s">
        <v>51</v>
      </c>
      <c r="F647" s="109" t="s">
        <v>1385</v>
      </c>
      <c r="G647" s="62"/>
      <c r="H647" s="62"/>
      <c r="I647" s="107"/>
      <c r="J647" s="58"/>
      <c r="K647" s="58"/>
      <c r="L647" s="58"/>
      <c r="M647" s="58"/>
      <c r="N647" s="8"/>
    </row>
    <row r="648" ht="15.75" customHeight="1">
      <c r="A648" s="86" t="s">
        <v>1386</v>
      </c>
      <c r="B648" s="87">
        <v>45996.958333333336</v>
      </c>
      <c r="C648" s="104" t="s">
        <v>1194</v>
      </c>
      <c r="D648" s="108" t="s">
        <v>1387</v>
      </c>
      <c r="E648" s="105" t="s">
        <v>51</v>
      </c>
      <c r="F648" s="109" t="s">
        <v>375</v>
      </c>
      <c r="G648" s="62"/>
      <c r="H648" s="62"/>
      <c r="I648" s="107"/>
      <c r="J648" s="58"/>
      <c r="K648" s="58"/>
      <c r="L648" s="58"/>
      <c r="M648" s="58"/>
      <c r="N648" s="8"/>
    </row>
    <row r="649" ht="15.75" customHeight="1">
      <c r="A649" s="86" t="s">
        <v>1383</v>
      </c>
      <c r="B649" s="87">
        <v>45997.958333333336</v>
      </c>
      <c r="C649" s="88" t="s">
        <v>252</v>
      </c>
      <c r="D649" s="108" t="s">
        <v>1388</v>
      </c>
      <c r="E649" s="105" t="s">
        <v>51</v>
      </c>
      <c r="F649" s="109" t="s">
        <v>1385</v>
      </c>
      <c r="G649" s="62"/>
      <c r="H649" s="62"/>
      <c r="I649" s="107"/>
      <c r="J649" s="58"/>
      <c r="K649" s="58"/>
      <c r="L649" s="58"/>
      <c r="M649" s="58"/>
      <c r="N649" s="8"/>
    </row>
    <row r="650" ht="15.75" customHeight="1">
      <c r="A650" s="86" t="s">
        <v>1367</v>
      </c>
      <c r="B650" s="87">
        <v>45997.958333333336</v>
      </c>
      <c r="C650" s="88" t="s">
        <v>1389</v>
      </c>
      <c r="D650" s="108" t="s">
        <v>1390</v>
      </c>
      <c r="E650" s="105" t="s">
        <v>51</v>
      </c>
      <c r="F650" s="109" t="s">
        <v>418</v>
      </c>
      <c r="G650" s="62"/>
      <c r="H650" s="62"/>
      <c r="I650" s="107"/>
      <c r="J650" s="58"/>
      <c r="K650" s="58"/>
      <c r="L650" s="58"/>
      <c r="M650" s="58"/>
      <c r="N650" s="8"/>
    </row>
    <row r="651" ht="15.75" customHeight="1">
      <c r="A651" s="86" t="s">
        <v>1391</v>
      </c>
      <c r="B651" s="87">
        <v>45997.875</v>
      </c>
      <c r="C651" s="88" t="s">
        <v>189</v>
      </c>
      <c r="D651" s="108" t="s">
        <v>1392</v>
      </c>
      <c r="E651" s="105" t="s">
        <v>51</v>
      </c>
      <c r="F651" s="109" t="s">
        <v>1393</v>
      </c>
      <c r="G651" s="62"/>
      <c r="H651" s="62"/>
      <c r="I651" s="107"/>
      <c r="J651" s="58"/>
      <c r="K651" s="58"/>
      <c r="L651" s="58"/>
      <c r="M651" s="58"/>
      <c r="N651" s="8"/>
    </row>
    <row r="652" ht="15.75" customHeight="1">
      <c r="A652" s="86" t="s">
        <v>1394</v>
      </c>
      <c r="B652" s="87">
        <v>45998.958333333336</v>
      </c>
      <c r="C652" s="88" t="s">
        <v>800</v>
      </c>
      <c r="D652" s="108" t="s">
        <v>1395</v>
      </c>
      <c r="E652" s="105" t="s">
        <v>51</v>
      </c>
      <c r="F652" s="109" t="s">
        <v>1354</v>
      </c>
      <c r="G652" s="62"/>
      <c r="H652" s="62"/>
      <c r="I652" s="107"/>
      <c r="J652" s="58"/>
      <c r="K652" s="58"/>
      <c r="L652" s="58"/>
      <c r="M652" s="58"/>
      <c r="N652" s="8"/>
    </row>
    <row r="653" ht="15.75" customHeight="1">
      <c r="A653" s="86" t="s">
        <v>1396</v>
      </c>
      <c r="B653" s="87">
        <v>45999.666666666664</v>
      </c>
      <c r="C653" s="88" t="s">
        <v>1012</v>
      </c>
      <c r="D653" s="108" t="s">
        <v>1397</v>
      </c>
      <c r="E653" s="105" t="s">
        <v>51</v>
      </c>
      <c r="F653" s="109" t="s">
        <v>514</v>
      </c>
      <c r="G653" s="62"/>
      <c r="H653" s="62"/>
      <c r="I653" s="107"/>
      <c r="J653" s="58"/>
      <c r="K653" s="58"/>
      <c r="L653" s="58"/>
      <c r="M653" s="58"/>
      <c r="N653" s="8"/>
    </row>
    <row r="654" ht="15.75" customHeight="1">
      <c r="A654" s="86" t="s">
        <v>1398</v>
      </c>
      <c r="B654" s="87">
        <v>45999.958333333336</v>
      </c>
      <c r="C654" s="88" t="s">
        <v>800</v>
      </c>
      <c r="D654" s="108" t="s">
        <v>1399</v>
      </c>
      <c r="E654" s="105" t="s">
        <v>51</v>
      </c>
      <c r="F654" s="109" t="s">
        <v>147</v>
      </c>
      <c r="G654" s="62"/>
      <c r="H654" s="62"/>
      <c r="I654" s="107"/>
      <c r="J654" s="58"/>
      <c r="K654" s="58"/>
      <c r="L654" s="58"/>
      <c r="M654" s="58"/>
      <c r="N654" s="8"/>
    </row>
    <row r="655" ht="15.75" customHeight="1">
      <c r="A655" s="86" t="s">
        <v>874</v>
      </c>
      <c r="B655" s="87">
        <v>45999.5</v>
      </c>
      <c r="C655" s="88" t="s">
        <v>949</v>
      </c>
      <c r="D655" s="108" t="s">
        <v>1400</v>
      </c>
      <c r="E655" s="105" t="s">
        <v>51</v>
      </c>
      <c r="F655" s="109" t="s">
        <v>514</v>
      </c>
      <c r="G655" s="62"/>
      <c r="H655" s="62"/>
      <c r="I655" s="107"/>
      <c r="J655" s="58"/>
      <c r="K655" s="58"/>
      <c r="L655" s="58"/>
      <c r="M655" s="58"/>
      <c r="N655" s="8"/>
    </row>
    <row r="656" ht="15.75" customHeight="1">
      <c r="A656" s="86" t="s">
        <v>1401</v>
      </c>
      <c r="B656" s="87">
        <v>45999.75</v>
      </c>
      <c r="C656" s="88" t="s">
        <v>1030</v>
      </c>
      <c r="D656" s="108" t="s">
        <v>1402</v>
      </c>
      <c r="E656" s="105" t="s">
        <v>51</v>
      </c>
      <c r="F656" s="109" t="s">
        <v>514</v>
      </c>
      <c r="G656" s="62"/>
      <c r="H656" s="62"/>
      <c r="I656" s="107"/>
      <c r="J656" s="58"/>
      <c r="K656" s="58"/>
      <c r="L656" s="58"/>
      <c r="M656" s="58"/>
      <c r="N656" s="8"/>
    </row>
    <row r="657" ht="15.75" customHeight="1">
      <c r="A657" s="86" t="s">
        <v>1311</v>
      </c>
      <c r="B657" s="87">
        <v>45999.541666666664</v>
      </c>
      <c r="C657" s="88" t="s">
        <v>961</v>
      </c>
      <c r="D657" s="108" t="s">
        <v>1403</v>
      </c>
      <c r="E657" s="105" t="s">
        <v>51</v>
      </c>
      <c r="F657" s="109" t="s">
        <v>514</v>
      </c>
      <c r="G657" s="62"/>
      <c r="H657" s="62"/>
      <c r="I657" s="107"/>
      <c r="J657" s="58"/>
      <c r="K657" s="58"/>
      <c r="L657" s="58"/>
      <c r="M657" s="58"/>
      <c r="N657" s="8"/>
    </row>
    <row r="658" ht="15.75" customHeight="1">
      <c r="A658" s="86" t="s">
        <v>1404</v>
      </c>
      <c r="B658" s="87">
        <v>45999.583333333336</v>
      </c>
      <c r="C658" s="88" t="s">
        <v>918</v>
      </c>
      <c r="D658" s="108" t="s">
        <v>1405</v>
      </c>
      <c r="E658" s="105" t="s">
        <v>51</v>
      </c>
      <c r="F658" s="109" t="s">
        <v>1406</v>
      </c>
      <c r="G658" s="62"/>
      <c r="H658" s="62"/>
      <c r="I658" s="107"/>
      <c r="J658" s="58"/>
      <c r="K658" s="58"/>
      <c r="L658" s="58"/>
      <c r="M658" s="58"/>
      <c r="N658" s="8"/>
    </row>
    <row r="659" ht="15.75" customHeight="1">
      <c r="A659" s="86" t="s">
        <v>1407</v>
      </c>
      <c r="B659" s="87">
        <v>46000.75</v>
      </c>
      <c r="C659" s="88" t="s">
        <v>1330</v>
      </c>
      <c r="D659" s="108" t="s">
        <v>1408</v>
      </c>
      <c r="E659" s="105" t="s">
        <v>51</v>
      </c>
      <c r="F659" s="109" t="s">
        <v>153</v>
      </c>
      <c r="G659" s="62"/>
      <c r="H659" s="62"/>
      <c r="I659" s="107"/>
      <c r="J659" s="58"/>
      <c r="K659" s="58"/>
      <c r="L659" s="58"/>
      <c r="M659" s="58"/>
      <c r="N659" s="8"/>
    </row>
    <row r="660" ht="15.75" customHeight="1">
      <c r="A660" s="86" t="s">
        <v>1409</v>
      </c>
      <c r="B660" s="87">
        <v>46000.958333333336</v>
      </c>
      <c r="C660" s="88" t="s">
        <v>1410</v>
      </c>
      <c r="D660" s="108" t="s">
        <v>1365</v>
      </c>
      <c r="E660" s="105" t="s">
        <v>51</v>
      </c>
      <c r="F660" s="109" t="s">
        <v>363</v>
      </c>
      <c r="G660" s="62"/>
      <c r="H660" s="62"/>
      <c r="I660" s="107"/>
      <c r="J660" s="58"/>
      <c r="K660" s="58"/>
      <c r="L660" s="58"/>
      <c r="M660" s="58"/>
      <c r="N660" s="8"/>
    </row>
    <row r="661" ht="15.75" customHeight="1">
      <c r="A661" s="86" t="s">
        <v>270</v>
      </c>
      <c r="B661" s="87">
        <v>46000.958333333336</v>
      </c>
      <c r="C661" s="88" t="s">
        <v>821</v>
      </c>
      <c r="D661" s="108" t="s">
        <v>1411</v>
      </c>
      <c r="E661" s="105" t="s">
        <v>51</v>
      </c>
      <c r="F661" s="109" t="s">
        <v>1393</v>
      </c>
      <c r="G661" s="62"/>
      <c r="H661" s="62"/>
      <c r="I661" s="107"/>
      <c r="J661" s="58"/>
      <c r="K661" s="58"/>
      <c r="L661" s="58"/>
      <c r="M661" s="58"/>
      <c r="N661" s="8"/>
    </row>
    <row r="662" ht="15.75" customHeight="1">
      <c r="A662" s="86" t="s">
        <v>436</v>
      </c>
      <c r="B662" s="87">
        <v>46000.625</v>
      </c>
      <c r="C662" s="88" t="s">
        <v>979</v>
      </c>
      <c r="D662" s="108" t="s">
        <v>1412</v>
      </c>
      <c r="E662" s="105" t="s">
        <v>51</v>
      </c>
      <c r="F662" s="109" t="s">
        <v>1339</v>
      </c>
      <c r="G662" s="62"/>
      <c r="H662" s="62"/>
      <c r="I662" s="107"/>
      <c r="J662" s="58"/>
      <c r="K662" s="58"/>
      <c r="L662" s="58"/>
      <c r="M662" s="58"/>
      <c r="N662" s="8"/>
    </row>
    <row r="663" ht="15.75" customHeight="1">
      <c r="A663" s="86" t="s">
        <v>1413</v>
      </c>
      <c r="B663" s="87">
        <v>46000.75</v>
      </c>
      <c r="C663" s="88" t="s">
        <v>175</v>
      </c>
      <c r="D663" s="108" t="s">
        <v>1414</v>
      </c>
      <c r="E663" s="105" t="s">
        <v>51</v>
      </c>
      <c r="F663" s="109" t="s">
        <v>514</v>
      </c>
      <c r="G663" s="62"/>
      <c r="H663" s="62"/>
      <c r="I663" s="107"/>
      <c r="J663" s="58"/>
      <c r="K663" s="58"/>
      <c r="L663" s="58"/>
      <c r="M663" s="58"/>
      <c r="N663" s="8"/>
    </row>
    <row r="664" ht="15.75" customHeight="1">
      <c r="A664" s="86" t="s">
        <v>1006</v>
      </c>
      <c r="B664" s="87">
        <v>46000.625</v>
      </c>
      <c r="C664" s="88" t="s">
        <v>968</v>
      </c>
      <c r="D664" s="108" t="s">
        <v>1415</v>
      </c>
      <c r="E664" s="105" t="s">
        <v>51</v>
      </c>
      <c r="F664" s="109" t="s">
        <v>1416</v>
      </c>
      <c r="G664" s="62"/>
      <c r="H664" s="62"/>
      <c r="I664" s="107"/>
      <c r="J664" s="58"/>
      <c r="K664" s="58"/>
      <c r="L664" s="58"/>
      <c r="M664" s="58"/>
      <c r="N664" s="8"/>
    </row>
    <row r="665" ht="15.75" customHeight="1">
      <c r="A665" s="86" t="s">
        <v>1417</v>
      </c>
      <c r="B665" s="87">
        <v>46000.645833333336</v>
      </c>
      <c r="C665" s="88" t="s">
        <v>1194</v>
      </c>
      <c r="D665" s="108" t="s">
        <v>1418</v>
      </c>
      <c r="E665" s="105" t="s">
        <v>51</v>
      </c>
      <c r="F665" s="109" t="s">
        <v>157</v>
      </c>
      <c r="G665" s="62"/>
      <c r="H665" s="62"/>
      <c r="I665" s="107"/>
      <c r="J665" s="58"/>
      <c r="K665" s="58"/>
      <c r="L665" s="58"/>
      <c r="M665" s="58"/>
      <c r="N665" s="8"/>
    </row>
    <row r="666" ht="15.75" customHeight="1">
      <c r="A666" s="86" t="s">
        <v>297</v>
      </c>
      <c r="B666" s="87">
        <v>46003.375</v>
      </c>
      <c r="C666" s="88" t="s">
        <v>155</v>
      </c>
      <c r="D666" s="108" t="s">
        <v>1419</v>
      </c>
      <c r="E666" s="105" t="s">
        <v>51</v>
      </c>
      <c r="F666" s="109" t="s">
        <v>153</v>
      </c>
      <c r="G666" s="62"/>
      <c r="H666" s="62"/>
      <c r="I666" s="107"/>
      <c r="J666" s="58"/>
      <c r="K666" s="58"/>
      <c r="L666" s="58"/>
      <c r="M666" s="58"/>
      <c r="N666" s="8"/>
    </row>
    <row r="667" ht="15.75" customHeight="1">
      <c r="A667" s="86" t="s">
        <v>49</v>
      </c>
      <c r="B667" s="87">
        <v>46000.75</v>
      </c>
      <c r="C667" s="88" t="s">
        <v>949</v>
      </c>
      <c r="D667" s="108" t="s">
        <v>1420</v>
      </c>
      <c r="E667" s="105" t="s">
        <v>51</v>
      </c>
      <c r="F667" s="109" t="s">
        <v>1361</v>
      </c>
      <c r="G667" s="62"/>
      <c r="H667" s="62"/>
      <c r="I667" s="107"/>
      <c r="J667" s="58"/>
      <c r="K667" s="58"/>
      <c r="L667" s="58"/>
      <c r="M667" s="58"/>
      <c r="N667" s="8"/>
    </row>
    <row r="668" ht="15.75" customHeight="1">
      <c r="A668" s="86" t="s">
        <v>1421</v>
      </c>
      <c r="B668" s="87">
        <v>46000.75</v>
      </c>
      <c r="C668" s="88" t="s">
        <v>961</v>
      </c>
      <c r="D668" s="108" t="s">
        <v>1422</v>
      </c>
      <c r="E668" s="105" t="s">
        <v>51</v>
      </c>
      <c r="F668" s="109" t="s">
        <v>1354</v>
      </c>
      <c r="G668" s="62"/>
      <c r="H668" s="62"/>
      <c r="I668" s="107"/>
      <c r="J668" s="58"/>
      <c r="K668" s="58"/>
      <c r="L668" s="58"/>
      <c r="M668" s="58"/>
      <c r="N668" s="8"/>
    </row>
    <row r="669" ht="15.75" customHeight="1">
      <c r="A669" s="86" t="s">
        <v>1423</v>
      </c>
      <c r="B669" s="87">
        <v>46001.958333333336</v>
      </c>
      <c r="C669" s="88" t="s">
        <v>1165</v>
      </c>
      <c r="D669" s="108" t="s">
        <v>1424</v>
      </c>
      <c r="E669" s="105" t="s">
        <v>51</v>
      </c>
      <c r="F669" s="109" t="s">
        <v>363</v>
      </c>
      <c r="G669" s="62"/>
      <c r="H669" s="62"/>
      <c r="I669" s="107"/>
      <c r="J669" s="58"/>
      <c r="K669" s="58"/>
      <c r="L669" s="58"/>
      <c r="M669" s="58"/>
      <c r="N669" s="8"/>
    </row>
    <row r="670" ht="15.75" customHeight="1">
      <c r="A670" s="86" t="s">
        <v>1409</v>
      </c>
      <c r="B670" s="87">
        <v>46001.958333333336</v>
      </c>
      <c r="C670" s="88" t="s">
        <v>1425</v>
      </c>
      <c r="D670" s="108" t="s">
        <v>1426</v>
      </c>
      <c r="E670" s="105" t="s">
        <v>51</v>
      </c>
      <c r="F670" s="109" t="s">
        <v>1339</v>
      </c>
      <c r="G670" s="62"/>
      <c r="H670" s="62"/>
      <c r="I670" s="107"/>
      <c r="J670" s="58"/>
      <c r="K670" s="58"/>
      <c r="L670" s="58"/>
      <c r="M670" s="58"/>
      <c r="N670" s="8"/>
    </row>
    <row r="671" ht="15.75" customHeight="1">
      <c r="A671" s="86" t="s">
        <v>1427</v>
      </c>
      <c r="B671" s="87">
        <v>46001.75</v>
      </c>
      <c r="C671" s="88" t="s">
        <v>968</v>
      </c>
      <c r="D671" s="108" t="s">
        <v>1428</v>
      </c>
      <c r="E671" s="105" t="s">
        <v>51</v>
      </c>
      <c r="F671" s="109" t="s">
        <v>1339</v>
      </c>
      <c r="G671" s="62"/>
      <c r="H671" s="62"/>
      <c r="I671" s="107"/>
      <c r="J671" s="58"/>
      <c r="K671" s="58"/>
      <c r="L671" s="58"/>
      <c r="M671" s="58"/>
      <c r="N671" s="8"/>
    </row>
    <row r="672" ht="15.75" customHeight="1">
      <c r="A672" s="86" t="s">
        <v>1429</v>
      </c>
      <c r="B672" s="87">
        <v>46001.666666666664</v>
      </c>
      <c r="C672" s="88" t="s">
        <v>1312</v>
      </c>
      <c r="D672" s="108" t="s">
        <v>998</v>
      </c>
      <c r="E672" s="105" t="s">
        <v>51</v>
      </c>
      <c r="F672" s="109" t="s">
        <v>514</v>
      </c>
      <c r="G672" s="62"/>
      <c r="H672" s="62"/>
      <c r="I672" s="107"/>
      <c r="J672" s="58"/>
      <c r="K672" s="58"/>
      <c r="L672" s="58"/>
      <c r="M672" s="58"/>
      <c r="N672" s="8"/>
    </row>
    <row r="673" ht="15.75" customHeight="1">
      <c r="A673" s="86" t="s">
        <v>1421</v>
      </c>
      <c r="B673" s="87">
        <v>46001.416666666664</v>
      </c>
      <c r="C673" s="88" t="s">
        <v>979</v>
      </c>
      <c r="D673" s="108" t="s">
        <v>1430</v>
      </c>
      <c r="E673" s="105" t="s">
        <v>51</v>
      </c>
      <c r="F673" s="109" t="s">
        <v>1354</v>
      </c>
      <c r="G673" s="62"/>
      <c r="H673" s="62"/>
      <c r="I673" s="107"/>
      <c r="J673" s="58"/>
      <c r="K673" s="58"/>
      <c r="L673" s="58"/>
      <c r="M673" s="58"/>
      <c r="N673" s="8"/>
    </row>
    <row r="674" ht="15.75" customHeight="1">
      <c r="A674" s="86" t="s">
        <v>1431</v>
      </c>
      <c r="B674" s="87">
        <v>46001.541666666664</v>
      </c>
      <c r="C674" s="88" t="s">
        <v>1008</v>
      </c>
      <c r="D674" s="108" t="s">
        <v>1411</v>
      </c>
      <c r="E674" s="105" t="s">
        <v>51</v>
      </c>
      <c r="F674" s="109" t="s">
        <v>153</v>
      </c>
      <c r="G674" s="62"/>
      <c r="H674" s="62"/>
      <c r="I674" s="107"/>
      <c r="J674" s="58"/>
      <c r="K674" s="58"/>
      <c r="L674" s="58"/>
      <c r="M674" s="58"/>
      <c r="N674" s="8"/>
    </row>
    <row r="675" ht="15.75" customHeight="1">
      <c r="A675" s="86" t="s">
        <v>297</v>
      </c>
      <c r="B675" s="87">
        <v>46001.625</v>
      </c>
      <c r="C675" s="88" t="s">
        <v>953</v>
      </c>
      <c r="D675" s="108" t="s">
        <v>1422</v>
      </c>
      <c r="E675" s="105" t="s">
        <v>51</v>
      </c>
      <c r="F675" s="109" t="s">
        <v>153</v>
      </c>
      <c r="G675" s="62"/>
      <c r="H675" s="62"/>
      <c r="I675" s="107"/>
      <c r="J675" s="58"/>
      <c r="K675" s="58"/>
      <c r="L675" s="58"/>
      <c r="M675" s="58"/>
      <c r="N675" s="8"/>
    </row>
    <row r="676" ht="15.75" customHeight="1">
      <c r="A676" s="86" t="s">
        <v>512</v>
      </c>
      <c r="B676" s="87">
        <v>46001.958333333336</v>
      </c>
      <c r="C676" s="88" t="s">
        <v>175</v>
      </c>
      <c r="D676" s="108" t="s">
        <v>1432</v>
      </c>
      <c r="E676" s="105" t="s">
        <v>51</v>
      </c>
      <c r="F676" s="109" t="s">
        <v>363</v>
      </c>
      <c r="G676" s="62"/>
      <c r="H676" s="62"/>
      <c r="I676" s="107"/>
      <c r="J676" s="58"/>
      <c r="K676" s="58"/>
      <c r="L676" s="58"/>
      <c r="M676" s="58"/>
      <c r="N676" s="8"/>
    </row>
    <row r="677" ht="15.75" customHeight="1">
      <c r="A677" s="86" t="s">
        <v>1347</v>
      </c>
      <c r="B677" s="87">
        <v>46001.666666666664</v>
      </c>
      <c r="C677" s="88" t="s">
        <v>180</v>
      </c>
      <c r="D677" s="108" t="s">
        <v>1433</v>
      </c>
      <c r="E677" s="105" t="s">
        <v>51</v>
      </c>
      <c r="F677" s="109" t="s">
        <v>164</v>
      </c>
      <c r="G677" s="62"/>
      <c r="H677" s="62"/>
      <c r="I677" s="107"/>
      <c r="J677" s="58"/>
      <c r="K677" s="58"/>
      <c r="L677" s="58"/>
      <c r="M677" s="58"/>
      <c r="N677" s="8"/>
    </row>
    <row r="678" ht="15.75" customHeight="1">
      <c r="A678" s="86" t="s">
        <v>1434</v>
      </c>
      <c r="B678" s="87">
        <v>46001.625</v>
      </c>
      <c r="C678" s="88" t="s">
        <v>1330</v>
      </c>
      <c r="D678" s="108" t="s">
        <v>1435</v>
      </c>
      <c r="E678" s="105" t="s">
        <v>51</v>
      </c>
      <c r="F678" s="109" t="s">
        <v>1339</v>
      </c>
      <c r="G678" s="62"/>
      <c r="H678" s="62"/>
      <c r="I678" s="107"/>
      <c r="J678" s="58"/>
      <c r="K678" s="58"/>
      <c r="L678" s="58"/>
      <c r="M678" s="58"/>
      <c r="N678" s="8"/>
    </row>
    <row r="679" ht="15.75" customHeight="1">
      <c r="A679" s="86" t="s">
        <v>967</v>
      </c>
      <c r="B679" s="87">
        <v>46001.625</v>
      </c>
      <c r="C679" s="88" t="s">
        <v>1008</v>
      </c>
      <c r="D679" s="108" t="s">
        <v>1436</v>
      </c>
      <c r="E679" s="105" t="s">
        <v>51</v>
      </c>
      <c r="F679" s="109" t="s">
        <v>153</v>
      </c>
      <c r="G679" s="62"/>
      <c r="H679" s="62"/>
      <c r="I679" s="107"/>
      <c r="J679" s="58"/>
      <c r="K679" s="58"/>
      <c r="L679" s="58"/>
      <c r="M679" s="58"/>
      <c r="N679" s="8"/>
    </row>
    <row r="680" ht="15.75" customHeight="1">
      <c r="A680" s="86" t="s">
        <v>1311</v>
      </c>
      <c r="B680" s="87">
        <v>46001.666666666664</v>
      </c>
      <c r="C680" s="88" t="s">
        <v>961</v>
      </c>
      <c r="D680" s="108" t="s">
        <v>1437</v>
      </c>
      <c r="E680" s="105" t="s">
        <v>51</v>
      </c>
      <c r="F680" s="109" t="s">
        <v>514</v>
      </c>
      <c r="G680" s="62"/>
      <c r="H680" s="62"/>
      <c r="I680" s="107"/>
      <c r="J680" s="58"/>
      <c r="K680" s="58"/>
      <c r="L680" s="58"/>
      <c r="M680" s="58"/>
      <c r="N680" s="8"/>
    </row>
    <row r="681" ht="15.75" customHeight="1">
      <c r="A681" s="86" t="s">
        <v>1438</v>
      </c>
      <c r="B681" s="87">
        <v>46001.708333333336</v>
      </c>
      <c r="C681" s="88" t="s">
        <v>1008</v>
      </c>
      <c r="D681" s="108" t="s">
        <v>1439</v>
      </c>
      <c r="E681" s="105" t="s">
        <v>51</v>
      </c>
      <c r="F681" s="109" t="s">
        <v>157</v>
      </c>
      <c r="G681" s="62"/>
      <c r="H681" s="62"/>
      <c r="I681" s="107"/>
      <c r="J681" s="58"/>
      <c r="K681" s="58"/>
      <c r="L681" s="58"/>
      <c r="M681" s="58"/>
      <c r="N681" s="8"/>
    </row>
    <row r="682" ht="15.75" customHeight="1">
      <c r="A682" s="86" t="s">
        <v>1440</v>
      </c>
      <c r="B682" s="87">
        <v>46001.75</v>
      </c>
      <c r="C682" s="88" t="s">
        <v>953</v>
      </c>
      <c r="D682" s="108" t="s">
        <v>1441</v>
      </c>
      <c r="E682" s="105" t="s">
        <v>51</v>
      </c>
      <c r="F682" s="109" t="s">
        <v>153</v>
      </c>
      <c r="G682" s="62"/>
      <c r="H682" s="62"/>
      <c r="I682" s="107"/>
      <c r="J682" s="58"/>
      <c r="K682" s="58"/>
      <c r="L682" s="58"/>
      <c r="M682" s="58"/>
      <c r="N682" s="8"/>
    </row>
    <row r="683" ht="15.75" customHeight="1">
      <c r="A683" s="86" t="s">
        <v>1011</v>
      </c>
      <c r="B683" s="87">
        <v>46002.958333333336</v>
      </c>
      <c r="C683" s="88" t="s">
        <v>1012</v>
      </c>
      <c r="D683" s="108" t="s">
        <v>1442</v>
      </c>
      <c r="E683" s="105" t="s">
        <v>51</v>
      </c>
      <c r="F683" s="109" t="s">
        <v>514</v>
      </c>
      <c r="G683" s="62"/>
      <c r="H683" s="62"/>
      <c r="I683" s="107"/>
      <c r="J683" s="58"/>
      <c r="K683" s="58"/>
      <c r="L683" s="58"/>
      <c r="M683" s="58"/>
      <c r="N683" s="8"/>
    </row>
    <row r="684" ht="15.75" customHeight="1">
      <c r="A684" s="86" t="s">
        <v>1440</v>
      </c>
      <c r="B684" s="87">
        <v>46002.5</v>
      </c>
      <c r="C684" s="88" t="s">
        <v>968</v>
      </c>
      <c r="D684" s="108" t="s">
        <v>1443</v>
      </c>
      <c r="E684" s="105" t="s">
        <v>51</v>
      </c>
      <c r="F684" s="109" t="s">
        <v>153</v>
      </c>
      <c r="G684" s="62"/>
      <c r="H684" s="62"/>
      <c r="I684" s="107"/>
      <c r="J684" s="58"/>
      <c r="K684" s="58"/>
      <c r="L684" s="58"/>
      <c r="M684" s="58"/>
      <c r="N684" s="8"/>
    </row>
    <row r="685" ht="15.75" customHeight="1">
      <c r="A685" s="86" t="s">
        <v>1444</v>
      </c>
      <c r="B685" s="87">
        <v>46002.75</v>
      </c>
      <c r="C685" s="88" t="s">
        <v>949</v>
      </c>
      <c r="D685" s="108" t="s">
        <v>1445</v>
      </c>
      <c r="E685" s="105" t="s">
        <v>51</v>
      </c>
      <c r="F685" s="109" t="s">
        <v>153</v>
      </c>
      <c r="G685" s="62"/>
      <c r="H685" s="62"/>
      <c r="I685" s="107"/>
      <c r="J685" s="58"/>
      <c r="K685" s="58"/>
      <c r="L685" s="58"/>
      <c r="M685" s="58"/>
      <c r="N685" s="8"/>
    </row>
    <row r="686" ht="15.75" customHeight="1">
      <c r="A686" s="86" t="s">
        <v>1446</v>
      </c>
      <c r="B686" s="87">
        <v>46002.5</v>
      </c>
      <c r="C686" s="88" t="s">
        <v>979</v>
      </c>
      <c r="D686" s="108" t="s">
        <v>1447</v>
      </c>
      <c r="E686" s="105" t="s">
        <v>51</v>
      </c>
      <c r="F686" s="109" t="s">
        <v>514</v>
      </c>
      <c r="G686" s="62"/>
      <c r="H686" s="62"/>
      <c r="I686" s="107"/>
      <c r="J686" s="58"/>
      <c r="K686" s="58"/>
      <c r="L686" s="58"/>
      <c r="M686" s="58"/>
      <c r="N686" s="8"/>
    </row>
    <row r="687" ht="15.75" customHeight="1">
      <c r="A687" s="86" t="s">
        <v>1448</v>
      </c>
      <c r="B687" s="87">
        <v>46002.458333333336</v>
      </c>
      <c r="C687" s="88" t="s">
        <v>1194</v>
      </c>
      <c r="D687" s="108" t="s">
        <v>1449</v>
      </c>
      <c r="E687" s="105" t="s">
        <v>51</v>
      </c>
      <c r="F687" s="109" t="s">
        <v>157</v>
      </c>
      <c r="G687" s="62"/>
      <c r="H687" s="62"/>
      <c r="I687" s="107"/>
      <c r="J687" s="58"/>
      <c r="K687" s="58"/>
      <c r="L687" s="58"/>
      <c r="M687" s="58"/>
      <c r="N687" s="8"/>
    </row>
    <row r="688" ht="15.75" customHeight="1">
      <c r="A688" s="86" t="s">
        <v>877</v>
      </c>
      <c r="B688" s="87">
        <v>46002.583333333336</v>
      </c>
      <c r="C688" s="88" t="s">
        <v>878</v>
      </c>
      <c r="D688" s="108" t="s">
        <v>1450</v>
      </c>
      <c r="E688" s="105" t="s">
        <v>51</v>
      </c>
      <c r="F688" s="109" t="s">
        <v>514</v>
      </c>
      <c r="G688" s="62"/>
      <c r="H688" s="62"/>
      <c r="I688" s="107"/>
      <c r="J688" s="58"/>
      <c r="K688" s="58"/>
      <c r="L688" s="58"/>
      <c r="M688" s="58"/>
      <c r="N688" s="8"/>
    </row>
    <row r="689" ht="15.75" customHeight="1">
      <c r="A689" s="86" t="s">
        <v>1451</v>
      </c>
      <c r="B689" s="87">
        <v>46002.75</v>
      </c>
      <c r="C689" s="88" t="s">
        <v>175</v>
      </c>
      <c r="D689" s="108" t="s">
        <v>1452</v>
      </c>
      <c r="E689" s="105" t="s">
        <v>51</v>
      </c>
      <c r="F689" s="109" t="s">
        <v>157</v>
      </c>
      <c r="G689" s="62"/>
      <c r="H689" s="62"/>
      <c r="I689" s="107"/>
      <c r="J689" s="58"/>
      <c r="K689" s="58"/>
      <c r="L689" s="58"/>
      <c r="M689" s="58"/>
      <c r="N689" s="8"/>
    </row>
    <row r="690" ht="15.75" customHeight="1">
      <c r="A690" s="86" t="s">
        <v>546</v>
      </c>
      <c r="B690" s="87">
        <v>46002.916666666664</v>
      </c>
      <c r="C690" s="88" t="s">
        <v>180</v>
      </c>
      <c r="D690" s="108" t="s">
        <v>1453</v>
      </c>
      <c r="E690" s="105" t="s">
        <v>51</v>
      </c>
      <c r="F690" s="109" t="s">
        <v>153</v>
      </c>
      <c r="G690" s="62"/>
      <c r="H690" s="62"/>
      <c r="I690" s="107"/>
      <c r="J690" s="58"/>
      <c r="K690" s="58"/>
      <c r="L690" s="58"/>
      <c r="M690" s="58"/>
      <c r="N690" s="8"/>
    </row>
    <row r="691" ht="15.75" customHeight="1">
      <c r="A691" s="86" t="s">
        <v>78</v>
      </c>
      <c r="B691" s="87">
        <v>46002.708333333336</v>
      </c>
      <c r="C691" s="88" t="s">
        <v>1330</v>
      </c>
      <c r="D691" s="108" t="s">
        <v>362</v>
      </c>
      <c r="E691" s="105" t="s">
        <v>51</v>
      </c>
      <c r="F691" s="109" t="s">
        <v>157</v>
      </c>
      <c r="G691" s="62"/>
      <c r="H691" s="62"/>
      <c r="I691" s="107"/>
      <c r="J691" s="58"/>
      <c r="K691" s="58"/>
      <c r="L691" s="58"/>
      <c r="M691" s="58"/>
      <c r="N691" s="8"/>
    </row>
    <row r="692" ht="15.75" customHeight="1">
      <c r="A692" s="86" t="s">
        <v>1454</v>
      </c>
      <c r="B692" s="87">
        <v>46002.666666666664</v>
      </c>
      <c r="C692" s="88" t="s">
        <v>979</v>
      </c>
      <c r="D692" s="110" t="s">
        <v>157</v>
      </c>
      <c r="E692" s="105" t="s">
        <v>51</v>
      </c>
      <c r="F692" s="109" t="s">
        <v>157</v>
      </c>
      <c r="G692" s="62"/>
      <c r="H692" s="62"/>
      <c r="I692" s="107"/>
      <c r="J692" s="58"/>
      <c r="K692" s="58"/>
      <c r="L692" s="58"/>
      <c r="M692" s="58"/>
      <c r="N692" s="8"/>
    </row>
    <row r="693" ht="15.75" customHeight="1">
      <c r="A693" s="86" t="s">
        <v>1455</v>
      </c>
      <c r="B693" s="87">
        <v>46002.958333333336</v>
      </c>
      <c r="C693" s="88" t="s">
        <v>252</v>
      </c>
      <c r="D693" s="108" t="s">
        <v>1456</v>
      </c>
      <c r="E693" s="105" t="s">
        <v>51</v>
      </c>
      <c r="F693" s="109" t="s">
        <v>1457</v>
      </c>
      <c r="G693" s="62"/>
      <c r="H693" s="62"/>
      <c r="I693" s="107"/>
      <c r="J693" s="58"/>
      <c r="K693" s="58"/>
      <c r="L693" s="58"/>
      <c r="M693" s="58"/>
      <c r="N693" s="8"/>
    </row>
    <row r="694" ht="15.75" customHeight="1">
      <c r="A694" s="86" t="s">
        <v>1458</v>
      </c>
      <c r="B694" s="87">
        <v>46002.958333333336</v>
      </c>
      <c r="C694" s="88" t="s">
        <v>175</v>
      </c>
      <c r="D694" s="108" t="s">
        <v>1459</v>
      </c>
      <c r="E694" s="105" t="s">
        <v>51</v>
      </c>
      <c r="F694" s="109" t="s">
        <v>157</v>
      </c>
      <c r="G694" s="62"/>
      <c r="H694" s="62"/>
      <c r="I694" s="107"/>
      <c r="J694" s="58"/>
      <c r="K694" s="58"/>
      <c r="L694" s="58"/>
      <c r="M694" s="58"/>
      <c r="N694" s="8"/>
    </row>
    <row r="695" ht="15.75" customHeight="1">
      <c r="A695" s="111" t="s">
        <v>1011</v>
      </c>
      <c r="B695" s="73">
        <v>46006.75</v>
      </c>
      <c r="C695" s="63" t="s">
        <v>1012</v>
      </c>
      <c r="D695" s="112" t="s">
        <v>1460</v>
      </c>
      <c r="E695" s="105" t="s">
        <v>51</v>
      </c>
      <c r="F695" s="113" t="s">
        <v>157</v>
      </c>
      <c r="G695" s="62"/>
      <c r="H695" s="62"/>
      <c r="I695" s="107"/>
      <c r="J695" s="58"/>
      <c r="K695" s="58"/>
      <c r="L695" s="58"/>
      <c r="M695" s="58"/>
      <c r="N695" s="8"/>
    </row>
    <row r="696" ht="15.75" customHeight="1">
      <c r="A696" s="111" t="s">
        <v>1440</v>
      </c>
      <c r="B696" s="63" t="s">
        <v>1461</v>
      </c>
      <c r="C696" s="63" t="s">
        <v>1462</v>
      </c>
      <c r="D696" s="112" t="s">
        <v>1463</v>
      </c>
      <c r="E696" s="105" t="s">
        <v>51</v>
      </c>
      <c r="F696" s="113" t="s">
        <v>157</v>
      </c>
      <c r="G696" s="62"/>
      <c r="H696" s="62"/>
      <c r="I696" s="107"/>
      <c r="J696" s="58"/>
      <c r="K696" s="58"/>
      <c r="L696" s="58"/>
      <c r="M696" s="58"/>
      <c r="N696" s="8"/>
    </row>
    <row r="697" ht="15.75" customHeight="1">
      <c r="A697" s="111" t="s">
        <v>1464</v>
      </c>
      <c r="B697" s="73">
        <v>46006.75</v>
      </c>
      <c r="C697" s="63" t="s">
        <v>228</v>
      </c>
      <c r="D697" s="112" t="s">
        <v>1465</v>
      </c>
      <c r="E697" s="105" t="s">
        <v>51</v>
      </c>
      <c r="F697" s="113" t="s">
        <v>147</v>
      </c>
      <c r="G697" s="62"/>
      <c r="H697" s="62"/>
      <c r="I697" s="107"/>
      <c r="J697" s="58"/>
      <c r="K697" s="58"/>
      <c r="L697" s="58"/>
      <c r="M697" s="58"/>
      <c r="N697" s="8"/>
    </row>
    <row r="698" ht="15.75" customHeight="1">
      <c r="A698" s="111" t="s">
        <v>940</v>
      </c>
      <c r="B698" s="63" t="s">
        <v>1466</v>
      </c>
      <c r="C698" s="63" t="s">
        <v>155</v>
      </c>
      <c r="D698" s="112" t="s">
        <v>1467</v>
      </c>
      <c r="E698" s="105" t="s">
        <v>51</v>
      </c>
      <c r="F698" s="113" t="s">
        <v>105</v>
      </c>
      <c r="G698" s="62"/>
      <c r="H698" s="62"/>
      <c r="I698" s="107"/>
      <c r="J698" s="58"/>
      <c r="K698" s="58"/>
      <c r="L698" s="58"/>
      <c r="M698" s="58"/>
      <c r="N698" s="8"/>
    </row>
    <row r="699" ht="15.75" customHeight="1">
      <c r="A699" s="111" t="s">
        <v>1114</v>
      </c>
      <c r="B699" s="73">
        <v>46007.958333333336</v>
      </c>
      <c r="C699" s="63" t="s">
        <v>816</v>
      </c>
      <c r="D699" s="112" t="s">
        <v>1468</v>
      </c>
      <c r="E699" s="105" t="s">
        <v>51</v>
      </c>
      <c r="F699" s="113" t="s">
        <v>1469</v>
      </c>
      <c r="G699" s="62"/>
      <c r="H699" s="62"/>
      <c r="I699" s="107"/>
      <c r="J699" s="58"/>
      <c r="K699" s="58"/>
      <c r="L699" s="58"/>
      <c r="M699" s="58"/>
      <c r="N699" s="8"/>
    </row>
    <row r="700" ht="15.75" customHeight="1">
      <c r="A700" s="111" t="s">
        <v>1470</v>
      </c>
      <c r="B700" s="63" t="s">
        <v>1466</v>
      </c>
      <c r="C700" s="63" t="s">
        <v>1471</v>
      </c>
      <c r="D700" s="112" t="s">
        <v>1472</v>
      </c>
      <c r="E700" s="105" t="s">
        <v>51</v>
      </c>
      <c r="F700" s="113" t="s">
        <v>147</v>
      </c>
      <c r="G700" s="62"/>
      <c r="H700" s="62"/>
      <c r="I700" s="107"/>
      <c r="J700" s="58"/>
      <c r="K700" s="58"/>
      <c r="L700" s="58"/>
      <c r="M700" s="58"/>
      <c r="N700" s="8"/>
    </row>
    <row r="701" ht="15.75" customHeight="1">
      <c r="A701" s="111" t="s">
        <v>778</v>
      </c>
      <c r="B701" s="73">
        <v>46007.958333333336</v>
      </c>
      <c r="C701" s="63" t="s">
        <v>953</v>
      </c>
      <c r="D701" s="112" t="s">
        <v>1473</v>
      </c>
      <c r="E701" s="105" t="s">
        <v>51</v>
      </c>
      <c r="F701" s="113" t="s">
        <v>157</v>
      </c>
      <c r="G701" s="62"/>
      <c r="H701" s="62"/>
      <c r="I701" s="107"/>
      <c r="J701" s="58"/>
      <c r="K701" s="58"/>
      <c r="L701" s="58"/>
      <c r="M701" s="58"/>
      <c r="N701" s="8"/>
    </row>
    <row r="702" ht="15.75" customHeight="1">
      <c r="A702" s="111" t="s">
        <v>1474</v>
      </c>
      <c r="B702" s="73">
        <v>46007.708333333336</v>
      </c>
      <c r="C702" s="63" t="s">
        <v>1012</v>
      </c>
      <c r="D702" s="112" t="s">
        <v>1475</v>
      </c>
      <c r="E702" s="105" t="s">
        <v>51</v>
      </c>
      <c r="F702" s="113" t="s">
        <v>157</v>
      </c>
      <c r="G702" s="62"/>
      <c r="H702" s="62"/>
      <c r="I702" s="107"/>
      <c r="J702" s="58"/>
      <c r="K702" s="58"/>
      <c r="L702" s="58"/>
      <c r="M702" s="58"/>
      <c r="N702" s="8"/>
    </row>
    <row r="703" ht="15.75" customHeight="1">
      <c r="A703" s="111" t="s">
        <v>1444</v>
      </c>
      <c r="B703" s="73">
        <v>46007.5</v>
      </c>
      <c r="C703" s="63" t="s">
        <v>949</v>
      </c>
      <c r="D703" s="112" t="s">
        <v>1476</v>
      </c>
      <c r="E703" s="105" t="s">
        <v>51</v>
      </c>
      <c r="F703" s="113" t="s">
        <v>157</v>
      </c>
      <c r="G703" s="62"/>
      <c r="H703" s="62"/>
      <c r="I703" s="107"/>
      <c r="J703" s="58"/>
      <c r="K703" s="58"/>
      <c r="L703" s="58"/>
      <c r="M703" s="58"/>
      <c r="N703" s="8"/>
    </row>
    <row r="704" ht="15.75" customHeight="1">
      <c r="A704" s="111" t="s">
        <v>1477</v>
      </c>
      <c r="B704" s="73">
        <v>46007.541666666664</v>
      </c>
      <c r="C704" s="63" t="s">
        <v>968</v>
      </c>
      <c r="D704" s="112" t="s">
        <v>1478</v>
      </c>
      <c r="E704" s="105" t="s">
        <v>51</v>
      </c>
      <c r="F704" s="113" t="s">
        <v>157</v>
      </c>
      <c r="G704" s="62"/>
      <c r="H704" s="62"/>
      <c r="I704" s="107"/>
      <c r="J704" s="58"/>
      <c r="K704" s="58"/>
      <c r="L704" s="58"/>
      <c r="M704" s="58"/>
      <c r="N704" s="8"/>
    </row>
    <row r="705" ht="15.75" customHeight="1">
      <c r="A705" s="111" t="s">
        <v>840</v>
      </c>
      <c r="B705" s="73">
        <v>46007.729166666664</v>
      </c>
      <c r="C705" s="63" t="s">
        <v>979</v>
      </c>
      <c r="D705" s="112" t="s">
        <v>1479</v>
      </c>
      <c r="E705" s="105" t="s">
        <v>51</v>
      </c>
      <c r="F705" s="113" t="s">
        <v>157</v>
      </c>
      <c r="G705" s="62"/>
      <c r="H705" s="62"/>
      <c r="I705" s="107"/>
      <c r="J705" s="58"/>
      <c r="K705" s="58"/>
      <c r="L705" s="58"/>
      <c r="M705" s="58"/>
      <c r="N705" s="8"/>
    </row>
    <row r="706" ht="15.75" customHeight="1">
      <c r="A706" s="111" t="s">
        <v>1480</v>
      </c>
      <c r="B706" s="73">
        <v>46007.75</v>
      </c>
      <c r="C706" s="63" t="s">
        <v>1008</v>
      </c>
      <c r="D706" s="112" t="s">
        <v>1481</v>
      </c>
      <c r="E706" s="105" t="s">
        <v>51</v>
      </c>
      <c r="F706" s="113" t="s">
        <v>157</v>
      </c>
      <c r="G706" s="62"/>
      <c r="H706" s="62"/>
      <c r="I706" s="107"/>
      <c r="J706" s="58"/>
      <c r="K706" s="58"/>
      <c r="L706" s="58"/>
      <c r="M706" s="58"/>
      <c r="N706" s="8"/>
    </row>
    <row r="707" ht="15.75" customHeight="1">
      <c r="A707" s="111" t="s">
        <v>1482</v>
      </c>
      <c r="B707" s="73">
        <v>46008.958333333336</v>
      </c>
      <c r="C707" s="63" t="s">
        <v>821</v>
      </c>
      <c r="D707" s="112" t="s">
        <v>1483</v>
      </c>
      <c r="E707" s="105" t="s">
        <v>51</v>
      </c>
      <c r="F707" s="113" t="s">
        <v>1469</v>
      </c>
      <c r="G707" s="62"/>
      <c r="H707" s="62"/>
      <c r="I707" s="107"/>
      <c r="J707" s="58"/>
      <c r="K707" s="58"/>
      <c r="L707" s="58"/>
      <c r="M707" s="58"/>
      <c r="N707" s="8"/>
    </row>
    <row r="708" ht="15.75" customHeight="1">
      <c r="A708" s="111" t="s">
        <v>1484</v>
      </c>
      <c r="B708" s="73">
        <v>46008.354166666664</v>
      </c>
      <c r="C708" s="58" t="s">
        <v>1194</v>
      </c>
      <c r="D708" s="112" t="s">
        <v>1485</v>
      </c>
      <c r="E708" s="105" t="s">
        <v>51</v>
      </c>
      <c r="F708" s="113" t="s">
        <v>1194</v>
      </c>
      <c r="G708" s="62"/>
      <c r="H708" s="62"/>
      <c r="I708" s="107"/>
      <c r="J708" s="58"/>
      <c r="K708" s="58"/>
      <c r="L708" s="58"/>
      <c r="M708" s="58"/>
      <c r="N708" s="8"/>
    </row>
    <row r="709" ht="15.75" customHeight="1">
      <c r="A709" s="111" t="s">
        <v>1486</v>
      </c>
      <c r="B709" s="73">
        <v>46008.5</v>
      </c>
      <c r="C709" s="58" t="s">
        <v>1194</v>
      </c>
      <c r="D709" s="112" t="s">
        <v>1487</v>
      </c>
      <c r="E709" s="105" t="s">
        <v>51</v>
      </c>
      <c r="F709" s="113" t="s">
        <v>1194</v>
      </c>
      <c r="G709" s="62"/>
      <c r="H709" s="62"/>
      <c r="I709" s="107"/>
      <c r="J709" s="58"/>
      <c r="K709" s="58"/>
      <c r="L709" s="58"/>
      <c r="M709" s="58"/>
      <c r="N709" s="8"/>
    </row>
    <row r="710" ht="15.75" customHeight="1">
      <c r="A710" s="111" t="s">
        <v>1488</v>
      </c>
      <c r="B710" s="73">
        <v>46009.958333333336</v>
      </c>
      <c r="C710" s="63" t="s">
        <v>800</v>
      </c>
      <c r="D710" s="112" t="s">
        <v>1489</v>
      </c>
      <c r="E710" s="105" t="s">
        <v>51</v>
      </c>
      <c r="F710" s="113" t="s">
        <v>1490</v>
      </c>
      <c r="G710" s="62"/>
      <c r="H710" s="62"/>
      <c r="I710" s="107"/>
      <c r="J710" s="58"/>
      <c r="K710" s="58"/>
      <c r="L710" s="58"/>
      <c r="M710" s="58"/>
      <c r="N710" s="8"/>
    </row>
    <row r="711" ht="15.75" customHeight="1">
      <c r="A711" s="111" t="s">
        <v>436</v>
      </c>
      <c r="B711" s="73">
        <v>46009.541666666664</v>
      </c>
      <c r="C711" s="63" t="s">
        <v>155</v>
      </c>
      <c r="D711" s="112" t="s">
        <v>1491</v>
      </c>
      <c r="E711" s="105" t="s">
        <v>51</v>
      </c>
      <c r="F711" s="113" t="s">
        <v>147</v>
      </c>
      <c r="G711" s="62"/>
      <c r="H711" s="62"/>
      <c r="I711" s="107"/>
      <c r="J711" s="58"/>
      <c r="K711" s="58"/>
      <c r="L711" s="58"/>
      <c r="M711" s="58"/>
      <c r="N711" s="8"/>
    </row>
    <row r="712" ht="15.75" customHeight="1">
      <c r="A712" s="111" t="s">
        <v>1492</v>
      </c>
      <c r="B712" s="73">
        <v>46009.958333333336</v>
      </c>
      <c r="C712" s="63" t="s">
        <v>821</v>
      </c>
      <c r="D712" s="112" t="s">
        <v>1493</v>
      </c>
      <c r="E712" s="105" t="s">
        <v>51</v>
      </c>
      <c r="F712" s="113" t="s">
        <v>1469</v>
      </c>
      <c r="G712" s="62"/>
      <c r="H712" s="62"/>
      <c r="I712" s="107"/>
      <c r="J712" s="58"/>
      <c r="K712" s="58"/>
      <c r="L712" s="58"/>
      <c r="M712" s="58"/>
      <c r="N712" s="8"/>
    </row>
    <row r="713" ht="15.75" customHeight="1">
      <c r="A713" s="111" t="s">
        <v>1494</v>
      </c>
      <c r="B713" s="73">
        <v>46009.75</v>
      </c>
      <c r="C713" s="63" t="s">
        <v>1012</v>
      </c>
      <c r="D713" s="112" t="s">
        <v>1495</v>
      </c>
      <c r="E713" s="105" t="s">
        <v>51</v>
      </c>
      <c r="F713" s="113" t="s">
        <v>157</v>
      </c>
      <c r="G713" s="62"/>
      <c r="H713" s="62"/>
      <c r="I713" s="107"/>
      <c r="J713" s="58"/>
      <c r="K713" s="58"/>
      <c r="L713" s="58"/>
      <c r="M713" s="58"/>
      <c r="N713" s="8"/>
    </row>
    <row r="714" ht="15.75" customHeight="1">
      <c r="A714" s="111" t="s">
        <v>1496</v>
      </c>
      <c r="B714" s="73">
        <v>46010.75</v>
      </c>
      <c r="C714" s="63" t="s">
        <v>1008</v>
      </c>
      <c r="D714" s="112" t="s">
        <v>1497</v>
      </c>
      <c r="E714" s="105" t="s">
        <v>51</v>
      </c>
      <c r="F714" s="113" t="s">
        <v>157</v>
      </c>
      <c r="G714" s="62"/>
      <c r="H714" s="62"/>
      <c r="I714" s="107"/>
      <c r="J714" s="58"/>
      <c r="K714" s="58"/>
      <c r="L714" s="58"/>
      <c r="M714" s="58"/>
      <c r="N714" s="8"/>
    </row>
    <row r="715" ht="15.75" customHeight="1">
      <c r="A715" s="111" t="s">
        <v>1003</v>
      </c>
      <c r="B715" s="73">
        <v>46009.541666666664</v>
      </c>
      <c r="C715" s="63" t="s">
        <v>979</v>
      </c>
      <c r="D715" s="112" t="s">
        <v>1498</v>
      </c>
      <c r="E715" s="105" t="s">
        <v>51</v>
      </c>
      <c r="F715" s="113" t="s">
        <v>157</v>
      </c>
      <c r="G715" s="62"/>
      <c r="H715" s="62"/>
      <c r="I715" s="107"/>
      <c r="J715" s="58"/>
      <c r="K715" s="58"/>
      <c r="L715" s="58"/>
      <c r="M715" s="58"/>
      <c r="N715" s="8"/>
    </row>
    <row r="716" ht="15.75" customHeight="1">
      <c r="A716" s="111" t="s">
        <v>1499</v>
      </c>
      <c r="B716" s="73">
        <v>46009.75</v>
      </c>
      <c r="C716" s="63" t="s">
        <v>175</v>
      </c>
      <c r="D716" s="112" t="s">
        <v>1500</v>
      </c>
      <c r="E716" s="105" t="s">
        <v>51</v>
      </c>
      <c r="F716" s="113" t="s">
        <v>147</v>
      </c>
      <c r="G716" s="62"/>
      <c r="H716" s="62"/>
      <c r="I716" s="107"/>
      <c r="J716" s="58"/>
      <c r="K716" s="58"/>
      <c r="L716" s="58"/>
      <c r="M716" s="58"/>
      <c r="N716" s="8"/>
    </row>
    <row r="717" ht="15.75" customHeight="1">
      <c r="A717" s="111" t="s">
        <v>1501</v>
      </c>
      <c r="B717" s="73">
        <v>46009.75</v>
      </c>
      <c r="C717" s="63" t="s">
        <v>186</v>
      </c>
      <c r="D717" s="112" t="s">
        <v>1502</v>
      </c>
      <c r="E717" s="105" t="s">
        <v>51</v>
      </c>
      <c r="F717" s="113" t="s">
        <v>147</v>
      </c>
      <c r="G717" s="62"/>
      <c r="H717" s="62"/>
      <c r="I717" s="107"/>
      <c r="J717" s="58"/>
      <c r="K717" s="58"/>
      <c r="L717" s="58"/>
      <c r="M717" s="58"/>
      <c r="N717" s="8"/>
    </row>
    <row r="718" ht="15.75" customHeight="1">
      <c r="A718" s="111" t="s">
        <v>1503</v>
      </c>
      <c r="B718" s="73">
        <v>46010.5</v>
      </c>
      <c r="C718" s="63" t="s">
        <v>949</v>
      </c>
      <c r="D718" s="112" t="s">
        <v>1504</v>
      </c>
      <c r="E718" s="105" t="s">
        <v>51</v>
      </c>
      <c r="F718" s="113" t="s">
        <v>157</v>
      </c>
      <c r="G718" s="62"/>
      <c r="H718" s="62"/>
      <c r="I718" s="107"/>
      <c r="J718" s="58"/>
      <c r="K718" s="58"/>
      <c r="L718" s="58"/>
      <c r="M718" s="58"/>
      <c r="N718" s="8"/>
    </row>
    <row r="719" ht="15.75" customHeight="1">
      <c r="A719" s="111" t="s">
        <v>1505</v>
      </c>
      <c r="B719" s="73">
        <v>46010.958333333336</v>
      </c>
      <c r="C719" s="63" t="s">
        <v>851</v>
      </c>
      <c r="D719" s="112" t="s">
        <v>1506</v>
      </c>
      <c r="E719" s="105" t="s">
        <v>51</v>
      </c>
      <c r="F719" s="113" t="s">
        <v>1469</v>
      </c>
      <c r="G719" s="62"/>
      <c r="H719" s="62"/>
      <c r="I719" s="107"/>
      <c r="J719" s="58"/>
      <c r="K719" s="58"/>
      <c r="L719" s="58"/>
      <c r="M719" s="58"/>
      <c r="N719" s="8"/>
    </row>
    <row r="720" ht="15.75" customHeight="1">
      <c r="A720" s="111" t="s">
        <v>1069</v>
      </c>
      <c r="B720" s="73">
        <v>46010.666666666664</v>
      </c>
      <c r="C720" s="63" t="s">
        <v>968</v>
      </c>
      <c r="D720" s="112" t="s">
        <v>1507</v>
      </c>
      <c r="E720" s="105" t="s">
        <v>51</v>
      </c>
      <c r="F720" s="113" t="s">
        <v>157</v>
      </c>
      <c r="G720" s="62"/>
      <c r="H720" s="62"/>
      <c r="I720" s="107"/>
      <c r="J720" s="58"/>
      <c r="K720" s="58"/>
      <c r="L720" s="58"/>
      <c r="M720" s="58"/>
      <c r="N720" s="8"/>
    </row>
    <row r="721" ht="15.75" customHeight="1">
      <c r="A721" s="111" t="s">
        <v>190</v>
      </c>
      <c r="B721" s="73">
        <v>46011.958333333336</v>
      </c>
      <c r="C721" s="63" t="s">
        <v>851</v>
      </c>
      <c r="D721" s="112" t="s">
        <v>1508</v>
      </c>
      <c r="E721" s="105" t="s">
        <v>51</v>
      </c>
      <c r="F721" s="113" t="s">
        <v>1469</v>
      </c>
      <c r="G721" s="62"/>
      <c r="H721" s="62"/>
      <c r="I721" s="107"/>
      <c r="J721" s="58"/>
      <c r="K721" s="58"/>
      <c r="L721" s="58"/>
      <c r="M721" s="58"/>
      <c r="N721" s="8"/>
    </row>
    <row r="722" ht="15.75" customHeight="1">
      <c r="A722" s="6" t="s">
        <v>1509</v>
      </c>
      <c r="B722" s="27"/>
      <c r="C722" s="27"/>
      <c r="D722" s="114"/>
      <c r="E722" s="27"/>
      <c r="F722" s="114"/>
      <c r="G722" s="27"/>
      <c r="H722" s="27"/>
      <c r="I722" s="27"/>
      <c r="J722" s="27"/>
      <c r="K722" s="27"/>
      <c r="L722" s="27"/>
      <c r="M722" s="27"/>
      <c r="N722" s="27"/>
    </row>
    <row r="723" ht="15.75" customHeight="1">
      <c r="A723" s="7" t="s">
        <v>1510</v>
      </c>
      <c r="B723" s="14">
        <f>COUNTA(A725:A737)</f>
        <v>13</v>
      </c>
      <c r="C723" s="14"/>
      <c r="D723" s="14"/>
      <c r="E723" s="14"/>
      <c r="F723" s="14"/>
      <c r="G723" s="14"/>
      <c r="H723" s="14"/>
      <c r="I723" s="14"/>
      <c r="J723" s="14"/>
      <c r="K723" s="14"/>
      <c r="L723" s="14"/>
      <c r="M723" s="14"/>
      <c r="N723" s="47" t="str">
        <f>M723</f>
        <v/>
      </c>
    </row>
    <row r="724" ht="15.75" customHeight="1">
      <c r="A724" s="29" t="s">
        <v>38</v>
      </c>
      <c r="B724" s="29" t="s">
        <v>1511</v>
      </c>
      <c r="C724" s="29" t="s">
        <v>1512</v>
      </c>
      <c r="D724" s="50"/>
      <c r="E724" s="50"/>
      <c r="F724" s="50"/>
      <c r="G724" s="50"/>
      <c r="H724" s="50"/>
      <c r="I724" s="50"/>
      <c r="J724" s="50"/>
      <c r="K724" s="50"/>
      <c r="L724" s="50"/>
      <c r="M724" s="50"/>
      <c r="N724" s="50"/>
      <c r="O724" s="51"/>
      <c r="P724" s="51"/>
      <c r="AB724" s="51"/>
      <c r="AC724" s="51"/>
    </row>
    <row r="725" ht="15.75" customHeight="1">
      <c r="A725" s="45" t="s">
        <v>1114</v>
      </c>
      <c r="B725" s="9" t="s">
        <v>1513</v>
      </c>
      <c r="C725" s="9" t="s">
        <v>1514</v>
      </c>
      <c r="D725" s="45"/>
      <c r="E725" s="45"/>
      <c r="F725" s="45"/>
      <c r="G725" s="45"/>
      <c r="H725" s="45"/>
      <c r="I725" s="45"/>
      <c r="J725" s="45"/>
      <c r="K725" s="45"/>
      <c r="L725" s="45"/>
      <c r="M725" s="45"/>
      <c r="N725" s="8"/>
    </row>
    <row r="726" ht="15.75" customHeight="1">
      <c r="A726" s="45" t="s">
        <v>1515</v>
      </c>
      <c r="B726" s="9" t="s">
        <v>1513</v>
      </c>
      <c r="C726" s="9" t="s">
        <v>1514</v>
      </c>
      <c r="D726" s="45"/>
      <c r="E726" s="45"/>
      <c r="F726" s="45"/>
      <c r="G726" s="45"/>
      <c r="H726" s="45"/>
      <c r="I726" s="45"/>
      <c r="J726" s="45"/>
      <c r="K726" s="45"/>
      <c r="L726" s="45"/>
      <c r="M726" s="45"/>
      <c r="N726" s="8"/>
    </row>
    <row r="727" ht="15.75" customHeight="1">
      <c r="A727" s="45" t="s">
        <v>1516</v>
      </c>
      <c r="B727" s="9" t="s">
        <v>1517</v>
      </c>
      <c r="C727" s="9" t="s">
        <v>1518</v>
      </c>
      <c r="D727" s="45"/>
      <c r="E727" s="45"/>
      <c r="F727" s="45"/>
      <c r="G727" s="45"/>
      <c r="H727" s="45"/>
      <c r="I727" s="45"/>
      <c r="J727" s="45"/>
      <c r="K727" s="45"/>
      <c r="L727" s="45"/>
      <c r="M727" s="45"/>
      <c r="N727" s="8"/>
    </row>
    <row r="728" ht="15.75" customHeight="1">
      <c r="A728" s="45" t="s">
        <v>1519</v>
      </c>
      <c r="B728" s="9" t="s">
        <v>1520</v>
      </c>
      <c r="C728" s="9">
        <v>0.0</v>
      </c>
      <c r="D728" s="45"/>
      <c r="E728" s="45"/>
      <c r="F728" s="45"/>
      <c r="G728" s="45"/>
      <c r="H728" s="45"/>
      <c r="I728" s="45"/>
      <c r="J728" s="45"/>
      <c r="K728" s="45"/>
      <c r="L728" s="45"/>
      <c r="M728" s="45"/>
      <c r="N728" s="8"/>
    </row>
    <row r="729" ht="15.75" customHeight="1">
      <c r="A729" s="45" t="s">
        <v>1521</v>
      </c>
      <c r="B729" s="9" t="s">
        <v>1520</v>
      </c>
      <c r="C729" s="9">
        <v>0.0</v>
      </c>
      <c r="D729" s="45"/>
      <c r="E729" s="45"/>
      <c r="F729" s="45"/>
      <c r="G729" s="45"/>
      <c r="H729" s="45"/>
      <c r="I729" s="45"/>
      <c r="J729" s="45"/>
      <c r="K729" s="45"/>
      <c r="L729" s="45"/>
      <c r="M729" s="45"/>
      <c r="N729" s="8"/>
    </row>
    <row r="730" ht="15.75" customHeight="1">
      <c r="A730" s="45" t="s">
        <v>1522</v>
      </c>
      <c r="B730" s="9" t="s">
        <v>1523</v>
      </c>
      <c r="C730" s="9" t="s">
        <v>1524</v>
      </c>
      <c r="D730" s="45"/>
      <c r="E730" s="45"/>
      <c r="F730" s="45"/>
      <c r="G730" s="45"/>
      <c r="H730" s="45"/>
      <c r="I730" s="45"/>
      <c r="J730" s="45"/>
      <c r="K730" s="45"/>
      <c r="L730" s="45"/>
      <c r="M730" s="45"/>
      <c r="N730" s="8"/>
    </row>
    <row r="731" ht="15.75" customHeight="1">
      <c r="A731" s="45" t="s">
        <v>1525</v>
      </c>
      <c r="B731" s="9" t="s">
        <v>1526</v>
      </c>
      <c r="C731" s="9" t="s">
        <v>1527</v>
      </c>
      <c r="D731" s="45"/>
      <c r="E731" s="45"/>
      <c r="F731" s="45"/>
      <c r="G731" s="45"/>
      <c r="H731" s="45"/>
      <c r="I731" s="45"/>
      <c r="J731" s="45"/>
      <c r="K731" s="45"/>
      <c r="L731" s="45"/>
      <c r="M731" s="45"/>
      <c r="N731" s="8"/>
    </row>
    <row r="732" ht="15.75" customHeight="1">
      <c r="A732" s="45" t="s">
        <v>1528</v>
      </c>
      <c r="B732" s="9" t="s">
        <v>1526</v>
      </c>
      <c r="C732" s="9" t="s">
        <v>1529</v>
      </c>
      <c r="D732" s="45"/>
      <c r="E732" s="45"/>
      <c r="F732" s="45"/>
      <c r="G732" s="45"/>
      <c r="H732" s="45"/>
      <c r="I732" s="45"/>
      <c r="J732" s="45"/>
      <c r="K732" s="45"/>
      <c r="L732" s="45"/>
      <c r="M732" s="45"/>
      <c r="N732" s="8"/>
    </row>
    <row r="733" ht="15.75" customHeight="1">
      <c r="A733" s="45" t="s">
        <v>1530</v>
      </c>
      <c r="B733" s="9" t="s">
        <v>1526</v>
      </c>
      <c r="C733" s="9" t="s">
        <v>1529</v>
      </c>
      <c r="D733" s="45"/>
      <c r="E733" s="45"/>
      <c r="F733" s="45"/>
      <c r="G733" s="45"/>
      <c r="H733" s="45"/>
      <c r="I733" s="45"/>
      <c r="J733" s="45"/>
      <c r="K733" s="45"/>
      <c r="L733" s="45"/>
      <c r="M733" s="45"/>
      <c r="N733" s="8"/>
    </row>
    <row r="734" ht="15.75" customHeight="1">
      <c r="A734" s="45" t="s">
        <v>1531</v>
      </c>
      <c r="B734" s="9" t="s">
        <v>1526</v>
      </c>
      <c r="C734" s="9" t="s">
        <v>1532</v>
      </c>
      <c r="D734" s="45"/>
      <c r="E734" s="45"/>
      <c r="F734" s="45"/>
      <c r="G734" s="45"/>
      <c r="H734" s="45"/>
      <c r="I734" s="45"/>
      <c r="J734" s="45"/>
      <c r="K734" s="45"/>
      <c r="L734" s="45"/>
      <c r="M734" s="45"/>
      <c r="N734" s="8"/>
    </row>
    <row r="735" ht="15.75" customHeight="1">
      <c r="A735" s="45" t="s">
        <v>1533</v>
      </c>
      <c r="B735" s="9" t="s">
        <v>1526</v>
      </c>
      <c r="C735" s="9" t="s">
        <v>1532</v>
      </c>
      <c r="D735" s="45"/>
      <c r="E735" s="45"/>
      <c r="F735" s="45"/>
      <c r="G735" s="45"/>
      <c r="H735" s="45"/>
      <c r="I735" s="45"/>
      <c r="J735" s="45"/>
      <c r="K735" s="45"/>
      <c r="L735" s="45"/>
      <c r="M735" s="45"/>
      <c r="N735" s="8"/>
    </row>
    <row r="736" ht="15.75" customHeight="1">
      <c r="A736" s="45" t="s">
        <v>1534</v>
      </c>
      <c r="B736" s="9" t="s">
        <v>1526</v>
      </c>
      <c r="C736" s="9" t="s">
        <v>1532</v>
      </c>
      <c r="D736" s="45"/>
      <c r="E736" s="45"/>
      <c r="F736" s="45"/>
      <c r="G736" s="45"/>
      <c r="H736" s="45"/>
      <c r="I736" s="45"/>
      <c r="J736" s="45"/>
      <c r="K736" s="45"/>
      <c r="L736" s="45"/>
      <c r="M736" s="45"/>
      <c r="N736" s="8"/>
    </row>
    <row r="737" ht="15.75" customHeight="1">
      <c r="A737" s="45" t="s">
        <v>1535</v>
      </c>
      <c r="B737" s="9" t="s">
        <v>1526</v>
      </c>
      <c r="C737" s="9" t="s">
        <v>1532</v>
      </c>
      <c r="D737" s="45"/>
      <c r="E737" s="45"/>
      <c r="F737" s="45"/>
      <c r="G737" s="45"/>
      <c r="H737" s="45"/>
      <c r="I737" s="45"/>
      <c r="J737" s="45"/>
      <c r="K737" s="45"/>
      <c r="L737" s="45"/>
      <c r="M737" s="45"/>
      <c r="N737" s="8"/>
    </row>
    <row r="738" ht="15.75" customHeight="1">
      <c r="A738" s="6" t="s">
        <v>1536</v>
      </c>
      <c r="B738" s="27"/>
      <c r="C738" s="27"/>
      <c r="D738" s="27"/>
      <c r="E738" s="27"/>
      <c r="F738" s="27"/>
      <c r="G738" s="27"/>
      <c r="H738" s="27"/>
      <c r="I738" s="27"/>
      <c r="J738" s="27"/>
      <c r="K738" s="27"/>
      <c r="L738" s="27"/>
      <c r="M738" s="27"/>
      <c r="N738" s="27"/>
    </row>
    <row r="739" ht="15.75" customHeight="1">
      <c r="A739" s="7" t="s">
        <v>1537</v>
      </c>
      <c r="B739" s="9">
        <f>COUNTA(A742:A753)</f>
        <v>12</v>
      </c>
      <c r="C739" s="9">
        <v>12.0</v>
      </c>
      <c r="D739" s="9">
        <v>12.0</v>
      </c>
      <c r="E739" s="9">
        <v>12.0</v>
      </c>
      <c r="F739" s="9">
        <v>12.0</v>
      </c>
      <c r="G739" s="9">
        <v>12.0</v>
      </c>
      <c r="H739" s="9">
        <v>12.0</v>
      </c>
      <c r="I739" s="9">
        <v>12.0</v>
      </c>
      <c r="J739" s="9">
        <v>12.0</v>
      </c>
      <c r="K739" s="9">
        <v>12.0</v>
      </c>
      <c r="L739" s="9">
        <v>12.0</v>
      </c>
      <c r="M739" s="9">
        <v>12.0</v>
      </c>
      <c r="N739" s="115">
        <v>12.0</v>
      </c>
    </row>
    <row r="740" ht="15.75" customHeight="1">
      <c r="A740" s="7" t="s">
        <v>1538</v>
      </c>
      <c r="B740" s="9">
        <f>COUNTA(A742:A747,A750:A751)</f>
        <v>8</v>
      </c>
      <c r="C740" s="9">
        <v>8.0</v>
      </c>
      <c r="D740" s="9">
        <v>8.0</v>
      </c>
      <c r="E740" s="9">
        <v>8.0</v>
      </c>
      <c r="F740" s="9">
        <v>8.0</v>
      </c>
      <c r="G740" s="9">
        <v>8.0</v>
      </c>
      <c r="H740" s="9">
        <v>8.0</v>
      </c>
      <c r="I740" s="9">
        <v>8.0</v>
      </c>
      <c r="J740" s="9">
        <v>8.0</v>
      </c>
      <c r="K740" s="9">
        <v>8.0</v>
      </c>
      <c r="L740" s="9">
        <v>8.0</v>
      </c>
      <c r="M740" s="9">
        <v>8.0</v>
      </c>
      <c r="N740" s="115">
        <v>8.0</v>
      </c>
    </row>
    <row r="741" ht="15.75" customHeight="1">
      <c r="A741" s="29" t="s">
        <v>38</v>
      </c>
      <c r="B741" s="7"/>
      <c r="C741" s="7"/>
      <c r="D741" s="7"/>
      <c r="E741" s="7"/>
      <c r="F741" s="7"/>
      <c r="G741" s="7"/>
      <c r="H741" s="7"/>
      <c r="I741" s="7"/>
      <c r="J741" s="7"/>
      <c r="K741" s="7"/>
      <c r="L741" s="7"/>
      <c r="M741" s="7"/>
      <c r="N741" s="8"/>
    </row>
    <row r="742" ht="15.75" customHeight="1">
      <c r="A742" s="45" t="s">
        <v>1539</v>
      </c>
      <c r="B742" s="9" t="s">
        <v>1540</v>
      </c>
      <c r="C742" s="7"/>
      <c r="D742" s="7"/>
      <c r="E742" s="7"/>
      <c r="F742" s="7"/>
      <c r="G742" s="7"/>
      <c r="H742" s="7"/>
      <c r="I742" s="7"/>
      <c r="J742" s="7"/>
      <c r="K742" s="7"/>
      <c r="L742" s="7"/>
      <c r="M742" s="7"/>
      <c r="N742" s="8"/>
    </row>
    <row r="743" ht="15.75" customHeight="1">
      <c r="A743" s="45" t="s">
        <v>1541</v>
      </c>
      <c r="B743" s="9" t="s">
        <v>1540</v>
      </c>
      <c r="C743" s="7"/>
      <c r="D743" s="7"/>
      <c r="E743" s="7"/>
      <c r="F743" s="7"/>
      <c r="G743" s="7"/>
      <c r="H743" s="7"/>
      <c r="I743" s="7"/>
      <c r="J743" s="7"/>
      <c r="K743" s="7"/>
      <c r="L743" s="7"/>
      <c r="M743" s="7"/>
      <c r="N743" s="8"/>
    </row>
    <row r="744" ht="15.75" customHeight="1">
      <c r="A744" s="45" t="s">
        <v>1542</v>
      </c>
      <c r="B744" s="9" t="s">
        <v>1540</v>
      </c>
      <c r="C744" s="7"/>
      <c r="D744" s="7"/>
      <c r="E744" s="7"/>
      <c r="F744" s="7"/>
      <c r="G744" s="7"/>
      <c r="H744" s="7"/>
      <c r="I744" s="7"/>
      <c r="J744" s="7"/>
      <c r="K744" s="7"/>
      <c r="L744" s="7"/>
      <c r="M744" s="7"/>
      <c r="N744" s="8"/>
    </row>
    <row r="745" ht="15.75" customHeight="1">
      <c r="A745" s="45" t="s">
        <v>1543</v>
      </c>
      <c r="B745" s="9" t="s">
        <v>1540</v>
      </c>
      <c r="C745" s="7"/>
      <c r="D745" s="7"/>
      <c r="E745" s="7"/>
      <c r="F745" s="7"/>
      <c r="G745" s="7"/>
      <c r="H745" s="7"/>
      <c r="I745" s="7"/>
      <c r="J745" s="7"/>
      <c r="K745" s="7"/>
      <c r="L745" s="7"/>
      <c r="M745" s="7"/>
      <c r="N745" s="8"/>
    </row>
    <row r="746" ht="15.75" customHeight="1">
      <c r="A746" s="45" t="s">
        <v>1544</v>
      </c>
      <c r="B746" s="9" t="s">
        <v>1540</v>
      </c>
      <c r="C746" s="7"/>
      <c r="D746" s="7"/>
      <c r="E746" s="7"/>
      <c r="F746" s="7"/>
      <c r="G746" s="7"/>
      <c r="H746" s="7"/>
      <c r="I746" s="7"/>
      <c r="J746" s="7"/>
      <c r="K746" s="7"/>
      <c r="L746" s="7"/>
      <c r="M746" s="7"/>
      <c r="N746" s="8"/>
    </row>
    <row r="747" ht="15.75" customHeight="1">
      <c r="A747" s="45" t="s">
        <v>1545</v>
      </c>
      <c r="B747" s="9" t="s">
        <v>1540</v>
      </c>
      <c r="C747" s="7"/>
      <c r="D747" s="7"/>
      <c r="E747" s="7"/>
      <c r="F747" s="7"/>
      <c r="G747" s="7"/>
      <c r="H747" s="7"/>
      <c r="I747" s="7"/>
      <c r="J747" s="7"/>
      <c r="K747" s="7"/>
      <c r="L747" s="7"/>
      <c r="M747" s="7"/>
      <c r="N747" s="8"/>
    </row>
    <row r="748" ht="15.75" customHeight="1">
      <c r="A748" s="45" t="s">
        <v>1546</v>
      </c>
      <c r="B748" s="9" t="s">
        <v>1547</v>
      </c>
      <c r="C748" s="7"/>
      <c r="D748" s="7"/>
      <c r="E748" s="7"/>
      <c r="F748" s="7"/>
      <c r="G748" s="7"/>
      <c r="H748" s="7"/>
      <c r="I748" s="7"/>
      <c r="J748" s="7"/>
      <c r="K748" s="7"/>
      <c r="L748" s="7"/>
      <c r="M748" s="7"/>
      <c r="N748" s="8"/>
    </row>
    <row r="749" ht="15.75" customHeight="1">
      <c r="A749" s="45" t="s">
        <v>1548</v>
      </c>
      <c r="B749" s="9" t="s">
        <v>1547</v>
      </c>
      <c r="C749" s="7"/>
      <c r="D749" s="7"/>
      <c r="E749" s="7"/>
      <c r="F749" s="7"/>
      <c r="G749" s="7"/>
      <c r="H749" s="7"/>
      <c r="I749" s="7"/>
      <c r="J749" s="7"/>
      <c r="K749" s="7"/>
      <c r="L749" s="7"/>
      <c r="M749" s="7"/>
      <c r="N749" s="8"/>
    </row>
    <row r="750" ht="15.75" customHeight="1">
      <c r="A750" s="45" t="s">
        <v>1549</v>
      </c>
      <c r="B750" s="9" t="s">
        <v>1540</v>
      </c>
      <c r="C750" s="7"/>
      <c r="D750" s="7"/>
      <c r="E750" s="7"/>
      <c r="F750" s="7"/>
      <c r="G750" s="7"/>
      <c r="H750" s="7"/>
      <c r="I750" s="7"/>
      <c r="J750" s="7"/>
      <c r="K750" s="7"/>
      <c r="L750" s="7"/>
      <c r="M750" s="7"/>
      <c r="N750" s="8"/>
    </row>
    <row r="751" ht="15.75" customHeight="1">
      <c r="A751" s="45" t="s">
        <v>1550</v>
      </c>
      <c r="B751" s="9" t="s">
        <v>1540</v>
      </c>
      <c r="C751" s="7"/>
      <c r="D751" s="7"/>
      <c r="E751" s="7"/>
      <c r="F751" s="7"/>
      <c r="G751" s="7"/>
      <c r="H751" s="7"/>
      <c r="I751" s="7"/>
      <c r="J751" s="7"/>
      <c r="K751" s="7"/>
      <c r="L751" s="7"/>
      <c r="M751" s="7"/>
      <c r="N751" s="8"/>
    </row>
    <row r="752" ht="15.75" customHeight="1">
      <c r="A752" s="45" t="s">
        <v>1551</v>
      </c>
      <c r="B752" s="9" t="s">
        <v>1547</v>
      </c>
      <c r="C752" s="7"/>
      <c r="D752" s="7"/>
      <c r="E752" s="7"/>
      <c r="F752" s="7"/>
      <c r="G752" s="7"/>
      <c r="H752" s="7"/>
      <c r="I752" s="7"/>
      <c r="J752" s="7"/>
      <c r="K752" s="7"/>
      <c r="L752" s="7"/>
      <c r="M752" s="7"/>
      <c r="N752" s="8"/>
    </row>
    <row r="753" ht="15.75" customHeight="1">
      <c r="A753" s="111" t="s">
        <v>1552</v>
      </c>
      <c r="B753" s="9" t="s">
        <v>1547</v>
      </c>
      <c r="C753" s="7"/>
      <c r="D753" s="7"/>
      <c r="E753" s="7"/>
      <c r="F753" s="7"/>
      <c r="G753" s="7"/>
      <c r="H753" s="7"/>
      <c r="I753" s="7"/>
      <c r="J753" s="7"/>
      <c r="K753" s="7"/>
      <c r="L753" s="7"/>
      <c r="M753" s="7"/>
      <c r="N753" s="8"/>
    </row>
    <row r="754" ht="15.75" customHeight="1">
      <c r="A754" s="6" t="s">
        <v>1553</v>
      </c>
      <c r="B754" s="27"/>
      <c r="C754" s="27"/>
      <c r="D754" s="27"/>
      <c r="E754" s="27"/>
      <c r="F754" s="27"/>
      <c r="G754" s="27"/>
      <c r="H754" s="27"/>
      <c r="I754" s="27"/>
      <c r="J754" s="27"/>
      <c r="K754" s="27"/>
      <c r="L754" s="27"/>
      <c r="M754" s="27"/>
      <c r="N754" s="27"/>
    </row>
    <row r="755" ht="15.75" customHeight="1">
      <c r="A755" s="7" t="s">
        <v>1554</v>
      </c>
      <c r="B755" s="9">
        <v>25.0</v>
      </c>
      <c r="C755" s="9"/>
      <c r="D755" s="9"/>
      <c r="E755" s="9"/>
      <c r="F755" s="9"/>
      <c r="G755" s="9"/>
      <c r="H755" s="9"/>
      <c r="I755" s="9"/>
      <c r="J755" s="9"/>
      <c r="K755" s="9"/>
      <c r="L755" s="9"/>
      <c r="M755" s="9"/>
      <c r="N755" s="115">
        <v>25.0</v>
      </c>
    </row>
    <row r="756" ht="15.75" customHeight="1">
      <c r="A756" s="7" t="s">
        <v>1555</v>
      </c>
      <c r="B756" s="9">
        <f>COUNTA(A758:A766)</f>
        <v>9</v>
      </c>
      <c r="C756" s="9"/>
      <c r="D756" s="9"/>
      <c r="E756" s="9"/>
      <c r="F756" s="9"/>
      <c r="G756" s="9"/>
      <c r="H756" s="9"/>
      <c r="I756" s="9"/>
      <c r="J756" s="9"/>
      <c r="K756" s="9"/>
      <c r="L756" s="9"/>
      <c r="M756" s="9"/>
      <c r="N756" s="115">
        <v>9.0</v>
      </c>
    </row>
    <row r="757" ht="15.75" customHeight="1">
      <c r="A757" s="29" t="s">
        <v>38</v>
      </c>
      <c r="B757" s="7"/>
      <c r="C757" s="7"/>
      <c r="D757" s="7"/>
      <c r="E757" s="7"/>
      <c r="F757" s="7"/>
      <c r="G757" s="7"/>
      <c r="H757" s="7"/>
      <c r="I757" s="7"/>
      <c r="J757" s="7"/>
      <c r="K757" s="7"/>
      <c r="L757" s="7"/>
      <c r="M757" s="7"/>
      <c r="N757" s="8"/>
    </row>
    <row r="758" ht="15.75" customHeight="1">
      <c r="A758" s="45" t="s">
        <v>1556</v>
      </c>
      <c r="B758" s="7"/>
      <c r="C758" s="7"/>
      <c r="D758" s="7"/>
      <c r="E758" s="7"/>
      <c r="F758" s="7"/>
      <c r="G758" s="7"/>
      <c r="H758" s="7"/>
      <c r="I758" s="7"/>
      <c r="J758" s="7"/>
      <c r="K758" s="7"/>
      <c r="L758" s="7"/>
      <c r="M758" s="7"/>
      <c r="N758" s="8"/>
    </row>
    <row r="759" ht="15.75" customHeight="1">
      <c r="A759" s="45" t="s">
        <v>1557</v>
      </c>
      <c r="B759" s="7"/>
      <c r="C759" s="7"/>
      <c r="D759" s="7"/>
      <c r="E759" s="7"/>
      <c r="F759" s="7"/>
      <c r="G759" s="7"/>
      <c r="H759" s="7"/>
      <c r="I759" s="7"/>
      <c r="J759" s="7"/>
      <c r="K759" s="7"/>
      <c r="L759" s="7"/>
      <c r="M759" s="7"/>
      <c r="N759" s="8"/>
    </row>
    <row r="760" ht="15.75" customHeight="1">
      <c r="A760" s="45" t="s">
        <v>1558</v>
      </c>
      <c r="B760" s="7"/>
      <c r="C760" s="7"/>
      <c r="D760" s="7"/>
      <c r="E760" s="7"/>
      <c r="F760" s="7"/>
      <c r="G760" s="7"/>
      <c r="H760" s="7"/>
      <c r="I760" s="7"/>
      <c r="J760" s="7"/>
      <c r="K760" s="7"/>
      <c r="L760" s="7"/>
      <c r="M760" s="7"/>
      <c r="N760" s="8"/>
    </row>
    <row r="761" ht="15.75" customHeight="1">
      <c r="A761" s="45" t="s">
        <v>1559</v>
      </c>
      <c r="B761" s="7"/>
      <c r="C761" s="7"/>
      <c r="D761" s="7"/>
      <c r="E761" s="7"/>
      <c r="F761" s="7"/>
      <c r="G761" s="7"/>
      <c r="H761" s="7"/>
      <c r="I761" s="7"/>
      <c r="J761" s="7"/>
      <c r="K761" s="7"/>
      <c r="L761" s="7"/>
      <c r="M761" s="7"/>
      <c r="N761" s="8"/>
    </row>
    <row r="762" ht="15.75" customHeight="1">
      <c r="A762" s="45" t="s">
        <v>1560</v>
      </c>
      <c r="B762" s="7"/>
      <c r="C762" s="7"/>
      <c r="D762" s="7"/>
      <c r="E762" s="7"/>
      <c r="F762" s="7"/>
      <c r="G762" s="7"/>
      <c r="H762" s="7"/>
      <c r="I762" s="7"/>
      <c r="J762" s="7"/>
      <c r="K762" s="7"/>
      <c r="L762" s="7"/>
      <c r="M762" s="7"/>
      <c r="N762" s="8"/>
    </row>
    <row r="763" ht="15.75" customHeight="1">
      <c r="A763" s="45" t="s">
        <v>1561</v>
      </c>
      <c r="B763" s="7"/>
      <c r="C763" s="7"/>
      <c r="D763" s="7"/>
      <c r="E763" s="7"/>
      <c r="F763" s="7"/>
      <c r="G763" s="7"/>
      <c r="H763" s="7"/>
      <c r="I763" s="7"/>
      <c r="J763" s="7"/>
      <c r="K763" s="7"/>
      <c r="L763" s="7"/>
      <c r="M763" s="7"/>
      <c r="N763" s="8"/>
    </row>
    <row r="764" ht="15.75" customHeight="1">
      <c r="A764" s="45" t="s">
        <v>1562</v>
      </c>
      <c r="B764" s="7"/>
      <c r="C764" s="7"/>
      <c r="D764" s="7"/>
      <c r="E764" s="7"/>
      <c r="F764" s="7"/>
      <c r="G764" s="7"/>
      <c r="H764" s="7"/>
      <c r="I764" s="7"/>
      <c r="J764" s="7"/>
      <c r="K764" s="7"/>
      <c r="L764" s="7"/>
      <c r="M764" s="7"/>
      <c r="N764" s="8"/>
    </row>
    <row r="765" ht="15.75" customHeight="1">
      <c r="A765" s="45" t="s">
        <v>1563</v>
      </c>
      <c r="B765" s="7"/>
      <c r="C765" s="7"/>
      <c r="D765" s="7"/>
      <c r="E765" s="7"/>
      <c r="F765" s="7"/>
      <c r="G765" s="7"/>
      <c r="H765" s="7"/>
      <c r="I765" s="7"/>
      <c r="J765" s="7"/>
      <c r="K765" s="7"/>
      <c r="L765" s="7"/>
      <c r="M765" s="7"/>
      <c r="N765" s="8"/>
    </row>
    <row r="766" ht="15.75" customHeight="1">
      <c r="A766" s="45" t="s">
        <v>1564</v>
      </c>
      <c r="B766" s="7"/>
      <c r="C766" s="7"/>
      <c r="D766" s="7"/>
      <c r="E766" s="7"/>
      <c r="F766" s="7"/>
      <c r="G766" s="7"/>
      <c r="H766" s="7"/>
      <c r="I766" s="7"/>
      <c r="J766" s="7"/>
      <c r="K766" s="7"/>
      <c r="L766" s="7"/>
      <c r="M766" s="7"/>
      <c r="N766" s="8"/>
    </row>
    <row r="767" ht="15.75" customHeight="1">
      <c r="A767" s="6" t="s">
        <v>1565</v>
      </c>
      <c r="B767" s="27"/>
      <c r="C767" s="27"/>
      <c r="D767" s="27"/>
      <c r="E767" s="27"/>
      <c r="F767" s="27"/>
      <c r="G767" s="27"/>
      <c r="H767" s="27"/>
      <c r="I767" s="27"/>
      <c r="J767" s="27"/>
      <c r="K767" s="27"/>
      <c r="L767" s="27"/>
      <c r="M767" s="27"/>
      <c r="N767" s="27"/>
    </row>
    <row r="768" ht="15.75" customHeight="1">
      <c r="A768" s="7" t="s">
        <v>1566</v>
      </c>
      <c r="B768" s="9">
        <f>COUNTA(A771:A784)</f>
        <v>14</v>
      </c>
      <c r="C768" s="9"/>
      <c r="D768" s="9"/>
      <c r="E768" s="9"/>
      <c r="F768" s="9"/>
      <c r="G768" s="9"/>
      <c r="H768" s="9"/>
      <c r="I768" s="9"/>
      <c r="J768" s="9"/>
      <c r="K768" s="9"/>
      <c r="L768" s="9"/>
      <c r="M768" s="9"/>
      <c r="N768" s="8"/>
    </row>
    <row r="769" ht="15.75" customHeight="1">
      <c r="A769" s="7" t="s">
        <v>1567</v>
      </c>
      <c r="B769" s="9">
        <f>COUNTA(A771:A784)</f>
        <v>14</v>
      </c>
      <c r="C769" s="9"/>
      <c r="D769" s="9"/>
      <c r="E769" s="9"/>
      <c r="F769" s="9"/>
      <c r="G769" s="9"/>
      <c r="H769" s="9"/>
      <c r="I769" s="9"/>
      <c r="J769" s="9"/>
      <c r="K769" s="9"/>
      <c r="L769" s="9"/>
      <c r="M769" s="9"/>
      <c r="N769" s="8"/>
    </row>
    <row r="770" ht="15.75" customHeight="1">
      <c r="A770" s="29" t="s">
        <v>38</v>
      </c>
      <c r="B770" s="7"/>
      <c r="C770" s="7"/>
      <c r="D770" s="7"/>
      <c r="E770" s="7"/>
      <c r="F770" s="7"/>
      <c r="G770" s="7"/>
      <c r="H770" s="7"/>
      <c r="I770" s="7"/>
      <c r="J770" s="7"/>
      <c r="K770" s="7"/>
      <c r="L770" s="7"/>
      <c r="M770" s="7"/>
      <c r="N770" s="8"/>
    </row>
    <row r="771" ht="15.75" customHeight="1">
      <c r="A771" s="45" t="s">
        <v>1568</v>
      </c>
      <c r="B771" s="7"/>
      <c r="C771" s="7"/>
      <c r="D771" s="7"/>
      <c r="E771" s="7"/>
      <c r="F771" s="7"/>
      <c r="G771" s="7"/>
      <c r="H771" s="7"/>
      <c r="I771" s="7"/>
      <c r="J771" s="7"/>
      <c r="K771" s="7"/>
      <c r="L771" s="7"/>
      <c r="M771" s="7"/>
      <c r="N771" s="8"/>
    </row>
    <row r="772" ht="15.75" customHeight="1">
      <c r="A772" s="45" t="s">
        <v>1569</v>
      </c>
      <c r="B772" s="7"/>
      <c r="C772" s="7"/>
      <c r="D772" s="7"/>
      <c r="E772" s="7"/>
      <c r="F772" s="7"/>
      <c r="G772" s="7"/>
      <c r="H772" s="7"/>
      <c r="I772" s="7"/>
      <c r="J772" s="7"/>
      <c r="K772" s="7"/>
      <c r="L772" s="7"/>
      <c r="M772" s="7"/>
      <c r="N772" s="8"/>
    </row>
    <row r="773" ht="15.75" customHeight="1">
      <c r="A773" s="45" t="s">
        <v>1570</v>
      </c>
      <c r="B773" s="7"/>
      <c r="C773" s="7"/>
      <c r="D773" s="7"/>
      <c r="E773" s="7"/>
      <c r="F773" s="7"/>
      <c r="G773" s="7"/>
      <c r="H773" s="7"/>
      <c r="I773" s="7"/>
      <c r="J773" s="7"/>
      <c r="K773" s="7"/>
      <c r="L773" s="7"/>
      <c r="M773" s="7"/>
      <c r="N773" s="8"/>
    </row>
    <row r="774" ht="15.75" customHeight="1">
      <c r="A774" s="45" t="s">
        <v>439</v>
      </c>
      <c r="B774" s="7"/>
      <c r="C774" s="7"/>
      <c r="D774" s="7"/>
      <c r="E774" s="7"/>
      <c r="F774" s="7"/>
      <c r="G774" s="7"/>
      <c r="H774" s="7"/>
      <c r="I774" s="7"/>
      <c r="J774" s="7"/>
      <c r="K774" s="7"/>
      <c r="L774" s="7"/>
      <c r="M774" s="7"/>
      <c r="N774" s="8"/>
    </row>
    <row r="775" ht="15.75" customHeight="1">
      <c r="A775" s="45" t="s">
        <v>1571</v>
      </c>
      <c r="B775" s="7"/>
      <c r="C775" s="7"/>
      <c r="D775" s="7"/>
      <c r="E775" s="7"/>
      <c r="F775" s="7"/>
      <c r="G775" s="7"/>
      <c r="H775" s="7"/>
      <c r="I775" s="7"/>
      <c r="J775" s="7"/>
      <c r="K775" s="7"/>
      <c r="L775" s="7"/>
      <c r="M775" s="7"/>
      <c r="N775" s="8"/>
    </row>
    <row r="776" ht="15.75" customHeight="1">
      <c r="A776" s="45" t="s">
        <v>1572</v>
      </c>
      <c r="B776" s="7"/>
      <c r="C776" s="7"/>
      <c r="D776" s="7"/>
      <c r="E776" s="7"/>
      <c r="F776" s="7"/>
      <c r="G776" s="7"/>
      <c r="H776" s="7"/>
      <c r="I776" s="7"/>
      <c r="J776" s="7"/>
      <c r="K776" s="7"/>
      <c r="L776" s="7"/>
      <c r="M776" s="7"/>
      <c r="N776" s="8"/>
    </row>
    <row r="777" ht="15.75" customHeight="1">
      <c r="A777" s="45" t="s">
        <v>1573</v>
      </c>
      <c r="B777" s="7"/>
      <c r="C777" s="7"/>
      <c r="D777" s="7"/>
      <c r="E777" s="7"/>
      <c r="F777" s="7"/>
      <c r="G777" s="7"/>
      <c r="H777" s="7"/>
      <c r="I777" s="7"/>
      <c r="J777" s="7"/>
      <c r="K777" s="7"/>
      <c r="L777" s="7"/>
      <c r="M777" s="7"/>
      <c r="N777" s="8"/>
    </row>
    <row r="778" ht="15.75" customHeight="1">
      <c r="A778" s="45" t="s">
        <v>1574</v>
      </c>
      <c r="B778" s="7"/>
      <c r="C778" s="7"/>
      <c r="D778" s="7"/>
      <c r="E778" s="7"/>
      <c r="F778" s="7"/>
      <c r="G778" s="7"/>
      <c r="H778" s="7"/>
      <c r="I778" s="7"/>
      <c r="J778" s="7"/>
      <c r="K778" s="7"/>
      <c r="L778" s="7"/>
      <c r="M778" s="7"/>
      <c r="N778" s="8"/>
    </row>
    <row r="779" ht="15.75" customHeight="1">
      <c r="A779" s="45" t="s">
        <v>1575</v>
      </c>
      <c r="B779" s="7"/>
      <c r="C779" s="7"/>
      <c r="D779" s="7"/>
      <c r="E779" s="7"/>
      <c r="F779" s="7"/>
      <c r="G779" s="7"/>
      <c r="H779" s="7"/>
      <c r="I779" s="7"/>
      <c r="J779" s="7"/>
      <c r="K779" s="7"/>
      <c r="L779" s="7"/>
      <c r="M779" s="7"/>
      <c r="N779" s="8"/>
    </row>
    <row r="780" ht="15.75" customHeight="1">
      <c r="A780" s="45" t="s">
        <v>220</v>
      </c>
      <c r="B780" s="7"/>
      <c r="C780" s="7"/>
      <c r="D780" s="7"/>
      <c r="E780" s="7"/>
      <c r="F780" s="7"/>
      <c r="G780" s="7"/>
      <c r="H780" s="7"/>
      <c r="I780" s="7"/>
      <c r="J780" s="7"/>
      <c r="K780" s="7"/>
      <c r="L780" s="7"/>
      <c r="M780" s="7"/>
      <c r="N780" s="8"/>
    </row>
    <row r="781" ht="15.75" customHeight="1">
      <c r="A781" s="45" t="s">
        <v>1576</v>
      </c>
      <c r="B781" s="7"/>
      <c r="C781" s="7"/>
      <c r="D781" s="7"/>
      <c r="E781" s="7"/>
      <c r="F781" s="7"/>
      <c r="G781" s="7"/>
      <c r="H781" s="7"/>
      <c r="I781" s="7"/>
      <c r="J781" s="7"/>
      <c r="K781" s="7"/>
      <c r="L781" s="7"/>
      <c r="M781" s="7"/>
      <c r="N781" s="8"/>
    </row>
    <row r="782" ht="15.75" customHeight="1">
      <c r="A782" s="45" t="s">
        <v>1577</v>
      </c>
      <c r="B782" s="7"/>
      <c r="C782" s="7"/>
      <c r="D782" s="7"/>
      <c r="E782" s="7"/>
      <c r="F782" s="7"/>
      <c r="G782" s="7"/>
      <c r="H782" s="7"/>
      <c r="I782" s="7"/>
      <c r="J782" s="7"/>
      <c r="K782" s="7"/>
      <c r="L782" s="7"/>
      <c r="M782" s="7"/>
      <c r="N782" s="8"/>
    </row>
    <row r="783" ht="15.75" customHeight="1">
      <c r="A783" s="45" t="s">
        <v>1578</v>
      </c>
      <c r="B783" s="7"/>
      <c r="C783" s="7"/>
      <c r="D783" s="7"/>
      <c r="E783" s="7"/>
      <c r="F783" s="7"/>
      <c r="G783" s="7"/>
      <c r="H783" s="7"/>
      <c r="I783" s="7"/>
      <c r="J783" s="7"/>
      <c r="K783" s="7"/>
      <c r="L783" s="7"/>
      <c r="M783" s="7"/>
      <c r="N783" s="8"/>
    </row>
    <row r="784" ht="15.75" customHeight="1">
      <c r="A784" s="45" t="s">
        <v>1579</v>
      </c>
      <c r="B784" s="7"/>
      <c r="C784" s="7"/>
      <c r="D784" s="7"/>
      <c r="E784" s="7"/>
      <c r="F784" s="7"/>
      <c r="G784" s="7"/>
      <c r="H784" s="7"/>
      <c r="I784" s="7"/>
      <c r="J784" s="7"/>
      <c r="K784" s="7"/>
      <c r="L784" s="7"/>
      <c r="M784" s="7"/>
      <c r="N784" s="8"/>
    </row>
    <row r="785" ht="15.75" customHeight="1">
      <c r="A785" s="6" t="s">
        <v>1580</v>
      </c>
      <c r="B785" s="27"/>
      <c r="C785" s="27"/>
      <c r="D785" s="27"/>
      <c r="E785" s="27"/>
      <c r="F785" s="27"/>
      <c r="G785" s="27"/>
      <c r="H785" s="27"/>
      <c r="I785" s="27"/>
      <c r="J785" s="27"/>
      <c r="K785" s="27"/>
      <c r="L785" s="27"/>
      <c r="M785" s="27"/>
      <c r="N785" s="27"/>
    </row>
    <row r="786" ht="15.75" customHeight="1">
      <c r="A786" s="7" t="s">
        <v>1581</v>
      </c>
      <c r="B786" s="9">
        <f>COUNTA(A789:A800)</f>
        <v>12</v>
      </c>
      <c r="C786" s="9"/>
      <c r="D786" s="9"/>
      <c r="E786" s="9"/>
      <c r="F786" s="9"/>
      <c r="G786" s="9"/>
      <c r="H786" s="9"/>
      <c r="I786" s="9"/>
      <c r="J786" s="9"/>
      <c r="K786" s="9"/>
      <c r="L786" s="9"/>
      <c r="M786" s="9"/>
      <c r="N786" s="8"/>
    </row>
    <row r="787" ht="15.75" customHeight="1">
      <c r="A787" s="7" t="s">
        <v>1582</v>
      </c>
      <c r="B787" s="9">
        <f>COUNTA(A789:A800)</f>
        <v>12</v>
      </c>
      <c r="C787" s="9"/>
      <c r="D787" s="9"/>
      <c r="E787" s="9"/>
      <c r="F787" s="9"/>
      <c r="G787" s="9"/>
      <c r="H787" s="9"/>
      <c r="I787" s="9"/>
      <c r="J787" s="9"/>
      <c r="K787" s="9"/>
      <c r="L787" s="9"/>
      <c r="M787" s="9"/>
      <c r="N787" s="8"/>
    </row>
    <row r="788" ht="15.75" customHeight="1">
      <c r="A788" s="29" t="s">
        <v>38</v>
      </c>
      <c r="B788" s="7"/>
      <c r="C788" s="7"/>
      <c r="D788" s="7"/>
      <c r="E788" s="7"/>
      <c r="F788" s="7"/>
      <c r="G788" s="7"/>
      <c r="H788" s="7"/>
      <c r="I788" s="7"/>
      <c r="J788" s="7"/>
      <c r="K788" s="7"/>
      <c r="L788" s="7"/>
      <c r="M788" s="7"/>
      <c r="N788" s="8"/>
    </row>
    <row r="789" ht="15.75" customHeight="1">
      <c r="A789" s="45" t="s">
        <v>1583</v>
      </c>
      <c r="B789" s="7"/>
      <c r="C789" s="7"/>
      <c r="D789" s="7"/>
      <c r="E789" s="7"/>
      <c r="F789" s="7"/>
      <c r="G789" s="7"/>
      <c r="H789" s="7"/>
      <c r="I789" s="7"/>
      <c r="J789" s="7"/>
      <c r="K789" s="7"/>
      <c r="L789" s="7"/>
      <c r="M789" s="7"/>
      <c r="N789" s="8"/>
    </row>
    <row r="790" ht="15.75" customHeight="1">
      <c r="A790" s="45" t="s">
        <v>1584</v>
      </c>
      <c r="B790" s="7"/>
      <c r="C790" s="7"/>
      <c r="D790" s="7"/>
      <c r="E790" s="7"/>
      <c r="F790" s="7"/>
      <c r="G790" s="7"/>
      <c r="H790" s="7"/>
      <c r="I790" s="7"/>
      <c r="J790" s="7"/>
      <c r="K790" s="7"/>
      <c r="L790" s="7"/>
      <c r="M790" s="7"/>
      <c r="N790" s="8"/>
    </row>
    <row r="791" ht="15.75" customHeight="1">
      <c r="A791" s="45" t="s">
        <v>401</v>
      </c>
      <c r="B791" s="7"/>
      <c r="C791" s="7"/>
      <c r="D791" s="7"/>
      <c r="E791" s="7"/>
      <c r="F791" s="7"/>
      <c r="G791" s="7"/>
      <c r="H791" s="7"/>
      <c r="I791" s="7"/>
      <c r="J791" s="7"/>
      <c r="K791" s="7"/>
      <c r="L791" s="7"/>
      <c r="M791" s="7"/>
      <c r="N791" s="8"/>
    </row>
    <row r="792" ht="15.75" customHeight="1">
      <c r="A792" s="45" t="s">
        <v>1340</v>
      </c>
      <c r="B792" s="7"/>
      <c r="C792" s="7"/>
      <c r="D792" s="7"/>
      <c r="E792" s="7"/>
      <c r="F792" s="7"/>
      <c r="G792" s="7"/>
      <c r="H792" s="7"/>
      <c r="I792" s="7"/>
      <c r="J792" s="7"/>
      <c r="K792" s="7"/>
      <c r="L792" s="7"/>
      <c r="M792" s="7"/>
      <c r="N792" s="8"/>
    </row>
    <row r="793" ht="15.75" customHeight="1">
      <c r="A793" s="45" t="s">
        <v>1585</v>
      </c>
      <c r="B793" s="7"/>
      <c r="C793" s="7"/>
      <c r="D793" s="7"/>
      <c r="E793" s="7"/>
      <c r="F793" s="7"/>
      <c r="G793" s="7"/>
      <c r="H793" s="7"/>
      <c r="I793" s="7"/>
      <c r="J793" s="7"/>
      <c r="K793" s="7"/>
      <c r="L793" s="7"/>
      <c r="M793" s="7"/>
      <c r="N793" s="8"/>
    </row>
    <row r="794" ht="15.75" customHeight="1">
      <c r="A794" s="45" t="s">
        <v>1586</v>
      </c>
      <c r="B794" s="7"/>
      <c r="C794" s="7"/>
      <c r="D794" s="7"/>
      <c r="E794" s="7"/>
      <c r="F794" s="7"/>
      <c r="G794" s="7"/>
      <c r="H794" s="7"/>
      <c r="I794" s="7"/>
      <c r="J794" s="7"/>
      <c r="K794" s="7"/>
      <c r="L794" s="7"/>
      <c r="M794" s="7"/>
      <c r="N794" s="8"/>
    </row>
    <row r="795" ht="15.75" customHeight="1">
      <c r="A795" s="45" t="s">
        <v>1587</v>
      </c>
      <c r="B795" s="7"/>
      <c r="C795" s="7"/>
      <c r="D795" s="7"/>
      <c r="E795" s="7"/>
      <c r="F795" s="7"/>
      <c r="G795" s="7"/>
      <c r="H795" s="7"/>
      <c r="I795" s="7"/>
      <c r="J795" s="7"/>
      <c r="K795" s="7"/>
      <c r="L795" s="7"/>
      <c r="M795" s="7"/>
      <c r="N795" s="8"/>
    </row>
    <row r="796" ht="15.75" customHeight="1">
      <c r="A796" s="45" t="s">
        <v>1525</v>
      </c>
      <c r="B796" s="7"/>
      <c r="C796" s="7"/>
      <c r="D796" s="7"/>
      <c r="E796" s="7"/>
      <c r="F796" s="7"/>
      <c r="G796" s="7"/>
      <c r="H796" s="7"/>
      <c r="I796" s="7"/>
      <c r="J796" s="7"/>
      <c r="K796" s="7"/>
      <c r="L796" s="7"/>
      <c r="M796" s="7"/>
      <c r="N796" s="8"/>
    </row>
    <row r="797" ht="15.75" customHeight="1">
      <c r="A797" s="45" t="s">
        <v>791</v>
      </c>
      <c r="B797" s="7"/>
      <c r="C797" s="7"/>
      <c r="D797" s="7"/>
      <c r="E797" s="7"/>
      <c r="F797" s="7"/>
      <c r="G797" s="7"/>
      <c r="H797" s="7"/>
      <c r="I797" s="7"/>
      <c r="J797" s="7"/>
      <c r="K797" s="7"/>
      <c r="L797" s="7"/>
      <c r="M797" s="7"/>
      <c r="N797" s="8"/>
    </row>
    <row r="798" ht="15.75" customHeight="1">
      <c r="A798" s="45" t="s">
        <v>1588</v>
      </c>
      <c r="B798" s="7"/>
      <c r="C798" s="7"/>
      <c r="D798" s="7"/>
      <c r="E798" s="7"/>
      <c r="F798" s="7"/>
      <c r="G798" s="7"/>
      <c r="H798" s="7"/>
      <c r="I798" s="7"/>
      <c r="J798" s="7"/>
      <c r="K798" s="7"/>
      <c r="L798" s="7"/>
      <c r="M798" s="7"/>
      <c r="N798" s="8"/>
    </row>
    <row r="799" ht="15.75" customHeight="1">
      <c r="A799" s="45" t="s">
        <v>940</v>
      </c>
      <c r="B799" s="7"/>
      <c r="C799" s="7"/>
      <c r="D799" s="7"/>
      <c r="E799" s="7"/>
      <c r="F799" s="7"/>
      <c r="G799" s="7"/>
      <c r="H799" s="7"/>
      <c r="I799" s="7"/>
      <c r="J799" s="7"/>
      <c r="K799" s="7"/>
      <c r="L799" s="7"/>
      <c r="M799" s="7"/>
      <c r="N799" s="8"/>
    </row>
    <row r="800" ht="15.75" customHeight="1">
      <c r="A800" s="45" t="s">
        <v>1589</v>
      </c>
      <c r="B800" s="7"/>
      <c r="C800" s="7"/>
      <c r="D800" s="7"/>
      <c r="E800" s="7"/>
      <c r="F800" s="7"/>
      <c r="G800" s="7"/>
      <c r="H800" s="7"/>
      <c r="I800" s="7"/>
      <c r="J800" s="7"/>
      <c r="K800" s="7"/>
      <c r="L800" s="7"/>
      <c r="M800" s="7"/>
      <c r="N800" s="8"/>
    </row>
    <row r="801" ht="15.75" customHeight="1">
      <c r="A801" s="6" t="s">
        <v>1590</v>
      </c>
      <c r="B801" s="27"/>
      <c r="C801" s="27"/>
      <c r="D801" s="27"/>
      <c r="E801" s="27"/>
      <c r="F801" s="27"/>
      <c r="G801" s="27"/>
      <c r="H801" s="27"/>
      <c r="I801" s="27"/>
      <c r="J801" s="27"/>
      <c r="K801" s="27"/>
      <c r="L801" s="27"/>
      <c r="M801" s="27"/>
      <c r="N801" s="27"/>
    </row>
    <row r="802" ht="15.75" customHeight="1">
      <c r="A802" s="7" t="s">
        <v>1591</v>
      </c>
      <c r="B802" s="14">
        <f>COUNTA(B804:B806)</f>
        <v>3</v>
      </c>
      <c r="C802" s="14">
        <f>COUNT(B807:B814)</f>
        <v>8</v>
      </c>
      <c r="D802" s="14">
        <f>COUNT(B815)</f>
        <v>1</v>
      </c>
      <c r="E802" s="14">
        <f>COUNT(B816:B822)</f>
        <v>7</v>
      </c>
      <c r="F802" s="14">
        <f>COUNT(B823:B828)</f>
        <v>6</v>
      </c>
      <c r="G802" s="14">
        <f>COUNT(B829:B831)</f>
        <v>3</v>
      </c>
      <c r="H802" s="14">
        <f>COUNT(B832:B834)</f>
        <v>3</v>
      </c>
      <c r="I802" s="14">
        <v>0.0</v>
      </c>
      <c r="J802" s="45">
        <f>COUNT(B835:B838)</f>
        <v>4</v>
      </c>
      <c r="K802" s="45">
        <f>COUNT(B839:B843)</f>
        <v>5</v>
      </c>
      <c r="L802" s="45">
        <f>COUNT(B844:D850)</f>
        <v>7</v>
      </c>
      <c r="M802" s="36">
        <v>0.0</v>
      </c>
      <c r="N802" s="8"/>
    </row>
    <row r="803" ht="15.75" customHeight="1">
      <c r="A803" s="116" t="s">
        <v>38</v>
      </c>
      <c r="B803" s="117" t="s">
        <v>1592</v>
      </c>
      <c r="C803" s="117" t="s">
        <v>1593</v>
      </c>
      <c r="D803" s="117" t="s">
        <v>1594</v>
      </c>
      <c r="E803" s="117" t="s">
        <v>1595</v>
      </c>
      <c r="F803" s="117" t="s">
        <v>41</v>
      </c>
      <c r="G803" s="117" t="s">
        <v>1596</v>
      </c>
      <c r="H803" s="118" t="s">
        <v>1597</v>
      </c>
      <c r="I803" s="118" t="s">
        <v>1598</v>
      </c>
      <c r="J803" s="117" t="s">
        <v>1599</v>
      </c>
      <c r="K803" s="117" t="s">
        <v>1600</v>
      </c>
      <c r="L803" s="117" t="s">
        <v>1601</v>
      </c>
      <c r="M803" s="117" t="s">
        <v>1602</v>
      </c>
      <c r="N803" s="119"/>
      <c r="O803" s="51"/>
      <c r="P803" s="51"/>
      <c r="Q803" s="51"/>
      <c r="R803" s="51"/>
      <c r="S803" s="51"/>
      <c r="T803" s="51"/>
      <c r="U803" s="51"/>
      <c r="V803" s="51"/>
      <c r="W803" s="51"/>
      <c r="X803" s="51"/>
      <c r="Y803" s="51"/>
      <c r="Z803" s="51"/>
      <c r="AB803" s="51"/>
      <c r="AC803" s="51"/>
      <c r="AD803" s="51"/>
      <c r="AE803" s="51"/>
      <c r="AF803" s="51"/>
      <c r="AG803" s="51"/>
      <c r="AH803" s="51"/>
    </row>
    <row r="804" ht="15.75" customHeight="1">
      <c r="A804" s="45" t="s">
        <v>1603</v>
      </c>
      <c r="B804" s="120">
        <v>45661.88680555556</v>
      </c>
      <c r="C804" s="9" t="s">
        <v>1604</v>
      </c>
      <c r="D804" s="9" t="s">
        <v>1604</v>
      </c>
      <c r="E804" s="9" t="s">
        <v>1605</v>
      </c>
      <c r="F804" s="9" t="s">
        <v>1606</v>
      </c>
      <c r="G804" s="9" t="s">
        <v>1607</v>
      </c>
      <c r="H804" s="9">
        <v>1.0</v>
      </c>
      <c r="I804" s="9">
        <v>1.0</v>
      </c>
      <c r="J804" s="9" t="s">
        <v>1608</v>
      </c>
      <c r="K804" s="9" t="s">
        <v>1608</v>
      </c>
      <c r="L804" s="9" t="s">
        <v>1608</v>
      </c>
      <c r="M804" s="9" t="s">
        <v>1608</v>
      </c>
      <c r="N804" s="8"/>
    </row>
    <row r="805" ht="15.0" customHeight="1">
      <c r="A805" s="45" t="s">
        <v>1609</v>
      </c>
      <c r="B805" s="120">
        <v>45672.686111111114</v>
      </c>
      <c r="C805" s="9" t="s">
        <v>1604</v>
      </c>
      <c r="D805" s="9" t="s">
        <v>1604</v>
      </c>
      <c r="E805" s="9" t="s">
        <v>1605</v>
      </c>
      <c r="F805" s="9" t="s">
        <v>1606</v>
      </c>
      <c r="G805" s="9" t="s">
        <v>1610</v>
      </c>
      <c r="H805" s="9">
        <v>1.0</v>
      </c>
      <c r="I805" s="9">
        <v>1.0</v>
      </c>
      <c r="J805" s="9" t="s">
        <v>1608</v>
      </c>
      <c r="K805" s="9" t="s">
        <v>1608</v>
      </c>
      <c r="L805" s="9" t="s">
        <v>1608</v>
      </c>
      <c r="M805" s="9" t="s">
        <v>1608</v>
      </c>
      <c r="N805" s="8"/>
    </row>
    <row r="806" ht="13.5" customHeight="1">
      <c r="A806" s="45" t="s">
        <v>1611</v>
      </c>
      <c r="B806" s="120">
        <v>45688.62708333333</v>
      </c>
      <c r="C806" s="9" t="s">
        <v>1604</v>
      </c>
      <c r="D806" s="9" t="s">
        <v>1604</v>
      </c>
      <c r="E806" s="9" t="s">
        <v>1605</v>
      </c>
      <c r="F806" s="9" t="s">
        <v>1606</v>
      </c>
      <c r="G806" s="9" t="s">
        <v>1612</v>
      </c>
      <c r="H806" s="9">
        <v>1.0</v>
      </c>
      <c r="I806" s="9">
        <v>1.0</v>
      </c>
      <c r="J806" s="9" t="s">
        <v>1608</v>
      </c>
      <c r="K806" s="9" t="s">
        <v>1608</v>
      </c>
      <c r="L806" s="9" t="s">
        <v>1608</v>
      </c>
      <c r="M806" s="9" t="s">
        <v>1608</v>
      </c>
      <c r="N806" s="8"/>
    </row>
    <row r="807" ht="15.75" customHeight="1">
      <c r="A807" s="45" t="s">
        <v>1613</v>
      </c>
      <c r="B807" s="120">
        <v>45695.39444444444</v>
      </c>
      <c r="C807" s="9" t="s">
        <v>1604</v>
      </c>
      <c r="D807" s="9" t="s">
        <v>1604</v>
      </c>
      <c r="E807" s="9" t="s">
        <v>1605</v>
      </c>
      <c r="F807" s="9" t="s">
        <v>1606</v>
      </c>
      <c r="G807" s="45"/>
      <c r="H807" s="9">
        <v>1.0</v>
      </c>
      <c r="I807" s="9">
        <v>1.0</v>
      </c>
      <c r="J807" s="9" t="s">
        <v>1608</v>
      </c>
      <c r="K807" s="9" t="s">
        <v>1608</v>
      </c>
      <c r="L807" s="9" t="s">
        <v>1608</v>
      </c>
      <c r="M807" s="9" t="s">
        <v>1608</v>
      </c>
      <c r="N807" s="8"/>
    </row>
    <row r="808" ht="15.75" customHeight="1">
      <c r="A808" s="45" t="s">
        <v>1614</v>
      </c>
      <c r="B808" s="120">
        <v>45699.80902777778</v>
      </c>
      <c r="C808" s="9" t="s">
        <v>1604</v>
      </c>
      <c r="D808" s="9" t="s">
        <v>1604</v>
      </c>
      <c r="E808" s="9" t="s">
        <v>1605</v>
      </c>
      <c r="F808" s="9" t="s">
        <v>1606</v>
      </c>
      <c r="G808" s="9" t="s">
        <v>1615</v>
      </c>
      <c r="H808" s="9">
        <v>1.0</v>
      </c>
      <c r="I808" s="9">
        <v>1.0</v>
      </c>
      <c r="J808" s="9" t="s">
        <v>1608</v>
      </c>
      <c r="K808" s="9" t="s">
        <v>1608</v>
      </c>
      <c r="L808" s="9" t="s">
        <v>1608</v>
      </c>
      <c r="M808" s="9" t="s">
        <v>1608</v>
      </c>
      <c r="N808" s="8"/>
    </row>
    <row r="809" ht="15.75" customHeight="1">
      <c r="A809" s="45" t="s">
        <v>1616</v>
      </c>
      <c r="B809" s="120">
        <v>45702.62847222222</v>
      </c>
      <c r="C809" s="9" t="s">
        <v>1604</v>
      </c>
      <c r="D809" s="9" t="s">
        <v>1604</v>
      </c>
      <c r="E809" s="9" t="s">
        <v>1605</v>
      </c>
      <c r="F809" s="9" t="s">
        <v>1606</v>
      </c>
      <c r="G809" s="9" t="s">
        <v>1617</v>
      </c>
      <c r="H809" s="9">
        <v>1.0</v>
      </c>
      <c r="I809" s="9">
        <v>1.0</v>
      </c>
      <c r="J809" s="9" t="s">
        <v>1608</v>
      </c>
      <c r="K809" s="9" t="s">
        <v>1608</v>
      </c>
      <c r="L809" s="9" t="s">
        <v>1608</v>
      </c>
      <c r="M809" s="9" t="s">
        <v>1608</v>
      </c>
      <c r="N809" s="8"/>
    </row>
    <row r="810" ht="15.75" customHeight="1">
      <c r="A810" s="45" t="s">
        <v>1618</v>
      </c>
      <c r="B810" s="120">
        <v>45706.52777777778</v>
      </c>
      <c r="C810" s="9" t="s">
        <v>1604</v>
      </c>
      <c r="D810" s="9" t="s">
        <v>1604</v>
      </c>
      <c r="E810" s="9" t="s">
        <v>1605</v>
      </c>
      <c r="F810" s="9" t="s">
        <v>1606</v>
      </c>
      <c r="G810" s="9" t="s">
        <v>1619</v>
      </c>
      <c r="H810" s="9">
        <v>1.0</v>
      </c>
      <c r="I810" s="9">
        <v>1.0</v>
      </c>
      <c r="J810" s="9" t="s">
        <v>1608</v>
      </c>
      <c r="K810" s="9" t="s">
        <v>1608</v>
      </c>
      <c r="L810" s="9" t="s">
        <v>1608</v>
      </c>
      <c r="M810" s="9" t="s">
        <v>1608</v>
      </c>
      <c r="N810" s="8"/>
    </row>
    <row r="811" ht="15.75" customHeight="1">
      <c r="A811" s="45" t="s">
        <v>1620</v>
      </c>
      <c r="B811" s="120">
        <v>45706.751388888886</v>
      </c>
      <c r="C811" s="9" t="s">
        <v>1604</v>
      </c>
      <c r="D811" s="9" t="s">
        <v>1604</v>
      </c>
      <c r="E811" s="9" t="s">
        <v>1605</v>
      </c>
      <c r="F811" s="9" t="s">
        <v>1606</v>
      </c>
      <c r="G811" s="9" t="s">
        <v>1621</v>
      </c>
      <c r="H811" s="9">
        <v>1.0</v>
      </c>
      <c r="I811" s="9">
        <v>1.0</v>
      </c>
      <c r="J811" s="9" t="s">
        <v>1608</v>
      </c>
      <c r="K811" s="9" t="s">
        <v>1608</v>
      </c>
      <c r="L811" s="9" t="s">
        <v>1608</v>
      </c>
      <c r="M811" s="9" t="s">
        <v>1608</v>
      </c>
      <c r="N811" s="8"/>
    </row>
    <row r="812" ht="15.75" customHeight="1">
      <c r="A812" s="45" t="s">
        <v>1622</v>
      </c>
      <c r="B812" s="120">
        <v>45708.55625</v>
      </c>
      <c r="C812" s="9" t="s">
        <v>1604</v>
      </c>
      <c r="D812" s="9" t="s">
        <v>1604</v>
      </c>
      <c r="E812" s="9" t="s">
        <v>1605</v>
      </c>
      <c r="F812" s="9" t="s">
        <v>1606</v>
      </c>
      <c r="G812" s="9" t="s">
        <v>1623</v>
      </c>
      <c r="H812" s="9">
        <v>1.0</v>
      </c>
      <c r="I812" s="9">
        <v>1.0</v>
      </c>
      <c r="J812" s="9" t="s">
        <v>1608</v>
      </c>
      <c r="K812" s="9" t="s">
        <v>1608</v>
      </c>
      <c r="L812" s="9" t="s">
        <v>1608</v>
      </c>
      <c r="M812" s="9" t="s">
        <v>1608</v>
      </c>
      <c r="N812" s="8"/>
    </row>
    <row r="813" ht="15.75" customHeight="1">
      <c r="A813" s="45" t="s">
        <v>1624</v>
      </c>
      <c r="B813" s="120">
        <v>45708.68819444445</v>
      </c>
      <c r="C813" s="9" t="s">
        <v>1604</v>
      </c>
      <c r="D813" s="9" t="s">
        <v>1604</v>
      </c>
      <c r="E813" s="9" t="s">
        <v>1605</v>
      </c>
      <c r="F813" s="9" t="s">
        <v>1606</v>
      </c>
      <c r="G813" s="9" t="s">
        <v>1625</v>
      </c>
      <c r="H813" s="9">
        <v>1.0</v>
      </c>
      <c r="I813" s="9">
        <v>1.0</v>
      </c>
      <c r="J813" s="9" t="s">
        <v>1608</v>
      </c>
      <c r="K813" s="9" t="s">
        <v>1608</v>
      </c>
      <c r="L813" s="9" t="s">
        <v>1608</v>
      </c>
      <c r="M813" s="9" t="s">
        <v>1608</v>
      </c>
      <c r="N813" s="8"/>
    </row>
    <row r="814" ht="15.75" customHeight="1">
      <c r="A814" s="45" t="s">
        <v>1626</v>
      </c>
      <c r="B814" s="120">
        <v>45709.8125</v>
      </c>
      <c r="C814" s="9" t="s">
        <v>1604</v>
      </c>
      <c r="D814" s="9" t="s">
        <v>1604</v>
      </c>
      <c r="E814" s="9" t="s">
        <v>1605</v>
      </c>
      <c r="F814" s="9" t="s">
        <v>1606</v>
      </c>
      <c r="G814" s="9" t="s">
        <v>1627</v>
      </c>
      <c r="H814" s="9">
        <v>1.0</v>
      </c>
      <c r="I814" s="9">
        <v>1.0</v>
      </c>
      <c r="J814" s="9" t="s">
        <v>1608</v>
      </c>
      <c r="K814" s="9" t="s">
        <v>1608</v>
      </c>
      <c r="L814" s="9" t="s">
        <v>1608</v>
      </c>
      <c r="M814" s="9" t="s">
        <v>1608</v>
      </c>
      <c r="N814" s="8"/>
    </row>
    <row r="815" ht="12.75" customHeight="1">
      <c r="A815" s="45" t="s">
        <v>1628</v>
      </c>
      <c r="B815" s="120">
        <v>45721.583333333336</v>
      </c>
      <c r="C815" s="9" t="s">
        <v>1604</v>
      </c>
      <c r="D815" s="9" t="s">
        <v>1604</v>
      </c>
      <c r="E815" s="9" t="s">
        <v>1605</v>
      </c>
      <c r="F815" s="9" t="s">
        <v>1606</v>
      </c>
      <c r="G815" s="9" t="s">
        <v>1629</v>
      </c>
      <c r="H815" s="9">
        <v>1.0</v>
      </c>
      <c r="I815" s="9">
        <v>1.0</v>
      </c>
      <c r="J815" s="9" t="s">
        <v>1608</v>
      </c>
      <c r="K815" s="9" t="s">
        <v>1608</v>
      </c>
      <c r="L815" s="9" t="s">
        <v>1608</v>
      </c>
      <c r="M815" s="9" t="s">
        <v>1608</v>
      </c>
      <c r="N815" s="8"/>
    </row>
    <row r="816" ht="15.75" customHeight="1">
      <c r="A816" s="45" t="s">
        <v>1630</v>
      </c>
      <c r="B816" s="120">
        <v>45748.64375</v>
      </c>
      <c r="C816" s="9" t="s">
        <v>1604</v>
      </c>
      <c r="D816" s="9" t="s">
        <v>1604</v>
      </c>
      <c r="E816" s="9" t="s">
        <v>1605</v>
      </c>
      <c r="F816" s="9" t="s">
        <v>1606</v>
      </c>
      <c r="G816" s="9" t="s">
        <v>1631</v>
      </c>
      <c r="H816" s="9">
        <v>1.0</v>
      </c>
      <c r="I816" s="9">
        <v>1.0</v>
      </c>
      <c r="J816" s="9" t="s">
        <v>1608</v>
      </c>
      <c r="K816" s="9" t="s">
        <v>1608</v>
      </c>
      <c r="L816" s="9" t="s">
        <v>1608</v>
      </c>
      <c r="M816" s="9" t="s">
        <v>1608</v>
      </c>
      <c r="N816" s="8"/>
    </row>
    <row r="817" ht="15.75" customHeight="1">
      <c r="A817" s="45" t="s">
        <v>1632</v>
      </c>
      <c r="B817" s="120">
        <v>45754.370833333334</v>
      </c>
      <c r="C817" s="9" t="s">
        <v>1604</v>
      </c>
      <c r="D817" s="9" t="s">
        <v>1604</v>
      </c>
      <c r="E817" s="9" t="s">
        <v>1605</v>
      </c>
      <c r="F817" s="9" t="s">
        <v>1606</v>
      </c>
      <c r="G817" s="9" t="s">
        <v>1633</v>
      </c>
      <c r="H817" s="9">
        <v>1.0</v>
      </c>
      <c r="I817" s="9">
        <v>1.0</v>
      </c>
      <c r="J817" s="9" t="s">
        <v>1608</v>
      </c>
      <c r="K817" s="9" t="s">
        <v>1608</v>
      </c>
      <c r="L817" s="9" t="s">
        <v>1608</v>
      </c>
      <c r="M817" s="9" t="s">
        <v>1608</v>
      </c>
      <c r="N817" s="8"/>
    </row>
    <row r="818" ht="15.75" customHeight="1">
      <c r="A818" s="45" t="s">
        <v>1634</v>
      </c>
      <c r="B818" s="120">
        <v>45755.84097222222</v>
      </c>
      <c r="C818" s="9" t="s">
        <v>1604</v>
      </c>
      <c r="D818" s="9" t="s">
        <v>1604</v>
      </c>
      <c r="E818" s="9" t="s">
        <v>1605</v>
      </c>
      <c r="F818" s="9" t="s">
        <v>1606</v>
      </c>
      <c r="G818" s="9" t="s">
        <v>1635</v>
      </c>
      <c r="H818" s="9">
        <v>1.0</v>
      </c>
      <c r="I818" s="9">
        <v>1.0</v>
      </c>
      <c r="J818" s="9" t="s">
        <v>1608</v>
      </c>
      <c r="K818" s="9" t="s">
        <v>1608</v>
      </c>
      <c r="L818" s="9" t="s">
        <v>1608</v>
      </c>
      <c r="M818" s="9" t="s">
        <v>1608</v>
      </c>
      <c r="N818" s="8"/>
    </row>
    <row r="819" ht="13.5" customHeight="1">
      <c r="A819" s="45" t="s">
        <v>1636</v>
      </c>
      <c r="B819" s="120">
        <v>45756.93194444444</v>
      </c>
      <c r="C819" s="9" t="s">
        <v>1604</v>
      </c>
      <c r="D819" s="9" t="s">
        <v>1604</v>
      </c>
      <c r="E819" s="9" t="s">
        <v>1605</v>
      </c>
      <c r="F819" s="9" t="s">
        <v>1606</v>
      </c>
      <c r="G819" s="9" t="s">
        <v>1637</v>
      </c>
      <c r="H819" s="9">
        <v>1.0</v>
      </c>
      <c r="I819" s="9">
        <v>1.0</v>
      </c>
      <c r="J819" s="9" t="s">
        <v>1608</v>
      </c>
      <c r="K819" s="9" t="s">
        <v>1608</v>
      </c>
      <c r="L819" s="9" t="s">
        <v>1608</v>
      </c>
      <c r="M819" s="9" t="s">
        <v>1608</v>
      </c>
      <c r="N819" s="8"/>
    </row>
    <row r="820" ht="15.75" customHeight="1">
      <c r="A820" s="45" t="s">
        <v>1638</v>
      </c>
      <c r="B820" s="120">
        <v>45761.520833333336</v>
      </c>
      <c r="C820" s="9" t="s">
        <v>1604</v>
      </c>
      <c r="D820" s="9" t="s">
        <v>1604</v>
      </c>
      <c r="E820" s="9" t="s">
        <v>1605</v>
      </c>
      <c r="F820" s="9" t="s">
        <v>1606</v>
      </c>
      <c r="G820" s="9" t="s">
        <v>1639</v>
      </c>
      <c r="H820" s="9">
        <v>1.0</v>
      </c>
      <c r="I820" s="9">
        <v>1.0</v>
      </c>
      <c r="J820" s="9" t="s">
        <v>1608</v>
      </c>
      <c r="K820" s="9" t="s">
        <v>1608</v>
      </c>
      <c r="L820" s="9" t="s">
        <v>1608</v>
      </c>
      <c r="M820" s="9" t="s">
        <v>1608</v>
      </c>
      <c r="N820" s="8"/>
    </row>
    <row r="821" ht="12.75" customHeight="1">
      <c r="A821" s="45" t="s">
        <v>1640</v>
      </c>
      <c r="B821" s="120">
        <v>45772.509722222225</v>
      </c>
      <c r="C821" s="9" t="s">
        <v>1604</v>
      </c>
      <c r="D821" s="9" t="s">
        <v>1604</v>
      </c>
      <c r="E821" s="9" t="s">
        <v>1605</v>
      </c>
      <c r="F821" s="9" t="s">
        <v>1606</v>
      </c>
      <c r="G821" s="9" t="s">
        <v>1641</v>
      </c>
      <c r="H821" s="9">
        <v>1.0</v>
      </c>
      <c r="I821" s="9">
        <v>1.0</v>
      </c>
      <c r="J821" s="9" t="s">
        <v>1608</v>
      </c>
      <c r="K821" s="9" t="s">
        <v>1608</v>
      </c>
      <c r="L821" s="9" t="s">
        <v>1608</v>
      </c>
      <c r="M821" s="9" t="s">
        <v>1608</v>
      </c>
      <c r="N821" s="8"/>
    </row>
    <row r="822" ht="15.75" customHeight="1">
      <c r="A822" s="45" t="s">
        <v>1642</v>
      </c>
      <c r="B822" s="120">
        <v>45771.665972222225</v>
      </c>
      <c r="C822" s="9" t="s">
        <v>1604</v>
      </c>
      <c r="D822" s="9" t="s">
        <v>1604</v>
      </c>
      <c r="E822" s="9" t="s">
        <v>1605</v>
      </c>
      <c r="F822" s="9" t="s">
        <v>1606</v>
      </c>
      <c r="G822" s="9" t="s">
        <v>1643</v>
      </c>
      <c r="H822" s="9">
        <v>1.0</v>
      </c>
      <c r="I822" s="9">
        <v>1.0</v>
      </c>
      <c r="J822" s="9" t="s">
        <v>1608</v>
      </c>
      <c r="K822" s="9" t="s">
        <v>1608</v>
      </c>
      <c r="L822" s="9" t="s">
        <v>1608</v>
      </c>
      <c r="M822" s="9" t="s">
        <v>1608</v>
      </c>
      <c r="N822" s="8"/>
    </row>
    <row r="823" ht="15.75" customHeight="1">
      <c r="A823" s="45" t="s">
        <v>1644</v>
      </c>
      <c r="B823" s="120">
        <v>45792.78611111111</v>
      </c>
      <c r="C823" s="9" t="s">
        <v>1604</v>
      </c>
      <c r="D823" s="9" t="s">
        <v>1604</v>
      </c>
      <c r="E823" s="9" t="s">
        <v>1605</v>
      </c>
      <c r="F823" s="9" t="s">
        <v>1606</v>
      </c>
      <c r="G823" s="9" t="s">
        <v>1645</v>
      </c>
      <c r="H823" s="9">
        <v>1.0</v>
      </c>
      <c r="I823" s="9">
        <v>1.0</v>
      </c>
      <c r="J823" s="9" t="s">
        <v>1608</v>
      </c>
      <c r="K823" s="9" t="s">
        <v>1608</v>
      </c>
      <c r="L823" s="9" t="s">
        <v>1608</v>
      </c>
      <c r="M823" s="9" t="s">
        <v>1608</v>
      </c>
      <c r="N823" s="8"/>
    </row>
    <row r="824" ht="15.0" customHeight="1">
      <c r="A824" s="45" t="s">
        <v>1646</v>
      </c>
      <c r="B824" s="120">
        <v>45782.782638888886</v>
      </c>
      <c r="C824" s="9" t="s">
        <v>1604</v>
      </c>
      <c r="D824" s="9" t="s">
        <v>1604</v>
      </c>
      <c r="E824" s="9" t="s">
        <v>1605</v>
      </c>
      <c r="F824" s="9" t="s">
        <v>1606</v>
      </c>
      <c r="G824" s="9" t="s">
        <v>1647</v>
      </c>
      <c r="H824" s="9">
        <v>1.0</v>
      </c>
      <c r="I824" s="9">
        <v>1.0</v>
      </c>
      <c r="J824" s="9" t="s">
        <v>1608</v>
      </c>
      <c r="K824" s="9" t="s">
        <v>1608</v>
      </c>
      <c r="L824" s="9" t="s">
        <v>1608</v>
      </c>
      <c r="M824" s="9" t="s">
        <v>1608</v>
      </c>
      <c r="N824" s="8"/>
    </row>
    <row r="825" ht="15.75" customHeight="1">
      <c r="A825" s="45" t="s">
        <v>1648</v>
      </c>
      <c r="B825" s="120">
        <v>45799.78194444445</v>
      </c>
      <c r="C825" s="9" t="s">
        <v>1604</v>
      </c>
      <c r="D825" s="9" t="s">
        <v>1604</v>
      </c>
      <c r="E825" s="9" t="s">
        <v>1605</v>
      </c>
      <c r="F825" s="9" t="s">
        <v>1606</v>
      </c>
      <c r="G825" s="9" t="s">
        <v>1649</v>
      </c>
      <c r="H825" s="9">
        <v>1.0</v>
      </c>
      <c r="I825" s="9">
        <v>1.0</v>
      </c>
      <c r="J825" s="9" t="s">
        <v>1608</v>
      </c>
      <c r="K825" s="9" t="s">
        <v>1608</v>
      </c>
      <c r="L825" s="9" t="s">
        <v>1608</v>
      </c>
      <c r="M825" s="9" t="s">
        <v>1608</v>
      </c>
      <c r="N825" s="8"/>
    </row>
    <row r="826" ht="15.75" customHeight="1">
      <c r="A826" s="45" t="s">
        <v>1650</v>
      </c>
      <c r="B826" s="120">
        <v>45803.25763888889</v>
      </c>
      <c r="C826" s="9" t="s">
        <v>1604</v>
      </c>
      <c r="D826" s="9" t="s">
        <v>1604</v>
      </c>
      <c r="E826" s="9" t="s">
        <v>1605</v>
      </c>
      <c r="F826" s="9" t="s">
        <v>1606</v>
      </c>
      <c r="G826" s="9" t="s">
        <v>1651</v>
      </c>
      <c r="H826" s="9">
        <v>1.0</v>
      </c>
      <c r="I826" s="9">
        <v>1.0</v>
      </c>
      <c r="J826" s="9" t="s">
        <v>1608</v>
      </c>
      <c r="K826" s="9" t="s">
        <v>1608</v>
      </c>
      <c r="L826" s="9" t="s">
        <v>1608</v>
      </c>
      <c r="M826" s="9" t="s">
        <v>1608</v>
      </c>
      <c r="N826" s="8"/>
    </row>
    <row r="827" ht="15.75" customHeight="1">
      <c r="A827" s="45" t="s">
        <v>1652</v>
      </c>
      <c r="B827" s="120">
        <v>45806.84583333333</v>
      </c>
      <c r="C827" s="9" t="s">
        <v>1604</v>
      </c>
      <c r="D827" s="9" t="s">
        <v>1604</v>
      </c>
      <c r="E827" s="9" t="s">
        <v>1605</v>
      </c>
      <c r="F827" s="9" t="s">
        <v>1606</v>
      </c>
      <c r="G827" s="9" t="s">
        <v>1653</v>
      </c>
      <c r="H827" s="9">
        <v>1.0</v>
      </c>
      <c r="I827" s="9">
        <v>1.0</v>
      </c>
      <c r="J827" s="9" t="s">
        <v>1608</v>
      </c>
      <c r="K827" s="9" t="s">
        <v>1608</v>
      </c>
      <c r="L827" s="9" t="s">
        <v>1608</v>
      </c>
      <c r="M827" s="9" t="s">
        <v>1608</v>
      </c>
      <c r="N827" s="8"/>
    </row>
    <row r="828" ht="15.75" customHeight="1">
      <c r="A828" s="45" t="s">
        <v>1654</v>
      </c>
      <c r="B828" s="120">
        <v>45807.322222222225</v>
      </c>
      <c r="C828" s="9" t="s">
        <v>1604</v>
      </c>
      <c r="D828" s="9" t="s">
        <v>1604</v>
      </c>
      <c r="E828" s="9" t="s">
        <v>1605</v>
      </c>
      <c r="F828" s="9" t="s">
        <v>1606</v>
      </c>
      <c r="G828" s="9" t="s">
        <v>1655</v>
      </c>
      <c r="H828" s="9">
        <v>1.0</v>
      </c>
      <c r="I828" s="9">
        <v>1.0</v>
      </c>
      <c r="J828" s="9" t="s">
        <v>1608</v>
      </c>
      <c r="K828" s="9" t="s">
        <v>1608</v>
      </c>
      <c r="L828" s="9" t="s">
        <v>1608</v>
      </c>
      <c r="M828" s="9" t="s">
        <v>1608</v>
      </c>
      <c r="N828" s="8"/>
    </row>
    <row r="829" ht="15.75" customHeight="1">
      <c r="A829" s="45" t="s">
        <v>1656</v>
      </c>
      <c r="B829" s="120">
        <v>45811.4875</v>
      </c>
      <c r="C829" s="9" t="s">
        <v>1604</v>
      </c>
      <c r="D829" s="9" t="s">
        <v>1604</v>
      </c>
      <c r="E829" s="9" t="s">
        <v>1605</v>
      </c>
      <c r="F829" s="9" t="s">
        <v>1606</v>
      </c>
      <c r="G829" s="9" t="s">
        <v>1657</v>
      </c>
      <c r="H829" s="9">
        <v>1.0</v>
      </c>
      <c r="I829" s="9">
        <v>1.0</v>
      </c>
      <c r="J829" s="9" t="s">
        <v>1608</v>
      </c>
      <c r="K829" s="9" t="s">
        <v>1608</v>
      </c>
      <c r="L829" s="9" t="s">
        <v>1608</v>
      </c>
      <c r="M829" s="9" t="s">
        <v>1608</v>
      </c>
      <c r="N829" s="8"/>
    </row>
    <row r="830" ht="15.75" customHeight="1">
      <c r="A830" s="45" t="s">
        <v>1658</v>
      </c>
      <c r="B830" s="120">
        <v>45819.572222222225</v>
      </c>
      <c r="C830" s="9" t="s">
        <v>1604</v>
      </c>
      <c r="D830" s="9" t="s">
        <v>1604</v>
      </c>
      <c r="E830" s="9" t="s">
        <v>1605</v>
      </c>
      <c r="F830" s="9" t="s">
        <v>1606</v>
      </c>
      <c r="G830" s="9" t="s">
        <v>1659</v>
      </c>
      <c r="H830" s="9">
        <v>1.0</v>
      </c>
      <c r="I830" s="9">
        <v>1.0</v>
      </c>
      <c r="J830" s="9" t="s">
        <v>1608</v>
      </c>
      <c r="K830" s="9" t="s">
        <v>1608</v>
      </c>
      <c r="L830" s="9" t="s">
        <v>1608</v>
      </c>
      <c r="M830" s="9" t="s">
        <v>1608</v>
      </c>
      <c r="N830" s="8"/>
    </row>
    <row r="831" ht="15.75" customHeight="1">
      <c r="A831" s="45" t="s">
        <v>1660</v>
      </c>
      <c r="B831" s="120">
        <v>45835.427083333336</v>
      </c>
      <c r="C831" s="9" t="s">
        <v>1604</v>
      </c>
      <c r="D831" s="9" t="s">
        <v>1604</v>
      </c>
      <c r="E831" s="9" t="s">
        <v>1605</v>
      </c>
      <c r="F831" s="9" t="s">
        <v>91</v>
      </c>
      <c r="G831" s="9" t="s">
        <v>1661</v>
      </c>
      <c r="H831" s="9">
        <v>1.0</v>
      </c>
      <c r="I831" s="9">
        <v>1.0</v>
      </c>
      <c r="J831" s="9" t="s">
        <v>1608</v>
      </c>
      <c r="K831" s="9" t="s">
        <v>1608</v>
      </c>
      <c r="L831" s="9" t="s">
        <v>1608</v>
      </c>
      <c r="M831" s="9" t="s">
        <v>1608</v>
      </c>
      <c r="N831" s="8"/>
    </row>
    <row r="832" ht="15.75" customHeight="1">
      <c r="A832" s="45" t="s">
        <v>1662</v>
      </c>
      <c r="B832" s="120">
        <v>45847.455555555556</v>
      </c>
      <c r="C832" s="9" t="s">
        <v>1604</v>
      </c>
      <c r="D832" s="9" t="s">
        <v>1604</v>
      </c>
      <c r="E832" s="9" t="s">
        <v>1605</v>
      </c>
      <c r="F832" s="9" t="s">
        <v>91</v>
      </c>
      <c r="G832" s="9" t="s">
        <v>1663</v>
      </c>
      <c r="H832" s="9">
        <v>1.0</v>
      </c>
      <c r="I832" s="9">
        <v>1.0</v>
      </c>
      <c r="J832" s="9" t="s">
        <v>1608</v>
      </c>
      <c r="K832" s="9" t="s">
        <v>1608</v>
      </c>
      <c r="L832" s="9" t="s">
        <v>1608</v>
      </c>
      <c r="M832" s="9" t="s">
        <v>1608</v>
      </c>
      <c r="N832" s="8"/>
    </row>
    <row r="833" ht="15.75" customHeight="1">
      <c r="A833" s="45" t="s">
        <v>1664</v>
      </c>
      <c r="B833" s="120">
        <v>45855.49375</v>
      </c>
      <c r="C833" s="9" t="s">
        <v>1604</v>
      </c>
      <c r="D833" s="9" t="s">
        <v>1604</v>
      </c>
      <c r="E833" s="9" t="s">
        <v>1605</v>
      </c>
      <c r="F833" s="9" t="s">
        <v>91</v>
      </c>
      <c r="G833" s="9" t="s">
        <v>1665</v>
      </c>
      <c r="H833" s="9">
        <v>1.0</v>
      </c>
      <c r="I833" s="9">
        <v>1.0</v>
      </c>
      <c r="J833" s="9" t="s">
        <v>1608</v>
      </c>
      <c r="K833" s="9" t="s">
        <v>1608</v>
      </c>
      <c r="L833" s="9" t="s">
        <v>1608</v>
      </c>
      <c r="M833" s="9" t="s">
        <v>1608</v>
      </c>
      <c r="N833" s="8"/>
    </row>
    <row r="834" ht="15.75" customHeight="1">
      <c r="A834" s="45" t="s">
        <v>1666</v>
      </c>
      <c r="B834" s="120">
        <v>45855.70138888889</v>
      </c>
      <c r="C834" s="9" t="s">
        <v>1604</v>
      </c>
      <c r="D834" s="9" t="s">
        <v>1604</v>
      </c>
      <c r="E834" s="9" t="s">
        <v>1605</v>
      </c>
      <c r="F834" s="9" t="s">
        <v>91</v>
      </c>
      <c r="G834" s="9" t="s">
        <v>1667</v>
      </c>
      <c r="H834" s="9">
        <v>1.0</v>
      </c>
      <c r="I834" s="9">
        <v>1.0</v>
      </c>
      <c r="J834" s="9" t="s">
        <v>1608</v>
      </c>
      <c r="K834" s="9" t="s">
        <v>1608</v>
      </c>
      <c r="L834" s="9" t="s">
        <v>1608</v>
      </c>
      <c r="M834" s="9" t="s">
        <v>1608</v>
      </c>
      <c r="N834" s="8"/>
    </row>
    <row r="835" ht="15.75" customHeight="1">
      <c r="A835" s="45" t="s">
        <v>1660</v>
      </c>
      <c r="B835" s="120">
        <v>45908.99967592592</v>
      </c>
      <c r="C835" s="9" t="s">
        <v>1604</v>
      </c>
      <c r="D835" s="9" t="s">
        <v>1604</v>
      </c>
      <c r="E835" s="9" t="s">
        <v>1605</v>
      </c>
      <c r="F835" s="9" t="s">
        <v>91</v>
      </c>
      <c r="G835" s="14" t="s">
        <v>56</v>
      </c>
      <c r="H835" s="9">
        <v>1.0</v>
      </c>
      <c r="I835" s="9">
        <v>1.0</v>
      </c>
      <c r="J835" s="9" t="s">
        <v>1608</v>
      </c>
      <c r="K835" s="9" t="s">
        <v>1608</v>
      </c>
      <c r="L835" s="9" t="s">
        <v>1608</v>
      </c>
      <c r="M835" s="9" t="s">
        <v>1608</v>
      </c>
      <c r="N835" s="8"/>
    </row>
    <row r="836" ht="15.75" customHeight="1">
      <c r="A836" s="45" t="s">
        <v>1662</v>
      </c>
      <c r="B836" s="120">
        <v>45908.0</v>
      </c>
      <c r="C836" s="9" t="s">
        <v>1604</v>
      </c>
      <c r="D836" s="9" t="s">
        <v>1604</v>
      </c>
      <c r="E836" s="9" t="s">
        <v>1605</v>
      </c>
      <c r="F836" s="9" t="s">
        <v>91</v>
      </c>
      <c r="G836" s="14" t="s">
        <v>56</v>
      </c>
      <c r="H836" s="9">
        <v>1.0</v>
      </c>
      <c r="I836" s="9">
        <v>1.0</v>
      </c>
      <c r="J836" s="9" t="s">
        <v>1608</v>
      </c>
      <c r="K836" s="9" t="s">
        <v>1608</v>
      </c>
      <c r="L836" s="9" t="s">
        <v>1608</v>
      </c>
      <c r="M836" s="9" t="s">
        <v>1608</v>
      </c>
      <c r="N836" s="8"/>
    </row>
    <row r="837" ht="15.75" customHeight="1">
      <c r="A837" s="45" t="s">
        <v>1664</v>
      </c>
      <c r="B837" s="120">
        <v>45918.0</v>
      </c>
      <c r="C837" s="9" t="s">
        <v>1604</v>
      </c>
      <c r="D837" s="9" t="s">
        <v>1604</v>
      </c>
      <c r="E837" s="9" t="s">
        <v>1605</v>
      </c>
      <c r="F837" s="9" t="s">
        <v>91</v>
      </c>
      <c r="G837" s="14" t="s">
        <v>56</v>
      </c>
      <c r="H837" s="9">
        <v>1.0</v>
      </c>
      <c r="I837" s="9">
        <v>1.0</v>
      </c>
      <c r="J837" s="9" t="s">
        <v>1608</v>
      </c>
      <c r="K837" s="9" t="s">
        <v>1608</v>
      </c>
      <c r="L837" s="9" t="s">
        <v>1608</v>
      </c>
      <c r="M837" s="9" t="s">
        <v>1608</v>
      </c>
      <c r="N837" s="8"/>
    </row>
    <row r="838" ht="15.75" customHeight="1">
      <c r="A838" s="45" t="s">
        <v>1666</v>
      </c>
      <c r="B838" s="120">
        <v>45925.0</v>
      </c>
      <c r="C838" s="9" t="s">
        <v>1604</v>
      </c>
      <c r="D838" s="9" t="s">
        <v>1604</v>
      </c>
      <c r="E838" s="9" t="s">
        <v>1605</v>
      </c>
      <c r="F838" s="9" t="s">
        <v>91</v>
      </c>
      <c r="G838" s="14" t="s">
        <v>56</v>
      </c>
      <c r="H838" s="9">
        <v>1.0</v>
      </c>
      <c r="I838" s="9">
        <v>1.0</v>
      </c>
      <c r="J838" s="9" t="s">
        <v>1608</v>
      </c>
      <c r="K838" s="9" t="s">
        <v>1608</v>
      </c>
      <c r="L838" s="9" t="s">
        <v>1608</v>
      </c>
      <c r="M838" s="9" t="s">
        <v>1608</v>
      </c>
      <c r="N838" s="8"/>
    </row>
    <row r="839" ht="15.75" customHeight="1">
      <c r="A839" s="45" t="s">
        <v>1668</v>
      </c>
      <c r="B839" s="120">
        <v>45939.99967592592</v>
      </c>
      <c r="C839" s="9" t="s">
        <v>1604</v>
      </c>
      <c r="D839" s="9" t="s">
        <v>1604</v>
      </c>
      <c r="E839" s="9" t="s">
        <v>1605</v>
      </c>
      <c r="F839" s="9" t="s">
        <v>91</v>
      </c>
      <c r="G839" s="14" t="s">
        <v>56</v>
      </c>
      <c r="H839" s="9">
        <v>1.0</v>
      </c>
      <c r="I839" s="9">
        <v>1.0</v>
      </c>
      <c r="J839" s="9" t="s">
        <v>1608</v>
      </c>
      <c r="K839" s="9" t="s">
        <v>1608</v>
      </c>
      <c r="L839" s="9" t="s">
        <v>1608</v>
      </c>
      <c r="M839" s="9" t="s">
        <v>1608</v>
      </c>
      <c r="N839" s="8"/>
    </row>
    <row r="840" ht="15.75" customHeight="1">
      <c r="A840" s="45" t="s">
        <v>1669</v>
      </c>
      <c r="B840" s="120">
        <v>45939.99967592592</v>
      </c>
      <c r="C840" s="9" t="s">
        <v>1604</v>
      </c>
      <c r="D840" s="9" t="s">
        <v>1604</v>
      </c>
      <c r="E840" s="9" t="s">
        <v>1605</v>
      </c>
      <c r="F840" s="9" t="s">
        <v>91</v>
      </c>
      <c r="G840" s="14" t="s">
        <v>56</v>
      </c>
      <c r="H840" s="9">
        <v>1.0</v>
      </c>
      <c r="I840" s="9">
        <v>1.0</v>
      </c>
      <c r="J840" s="9" t="s">
        <v>1608</v>
      </c>
      <c r="K840" s="9" t="s">
        <v>1608</v>
      </c>
      <c r="L840" s="9" t="s">
        <v>1608</v>
      </c>
      <c r="M840" s="9" t="s">
        <v>1608</v>
      </c>
      <c r="N840" s="8"/>
    </row>
    <row r="841" ht="15.75" customHeight="1">
      <c r="A841" s="45" t="s">
        <v>1670</v>
      </c>
      <c r="B841" s="120">
        <v>45945.0</v>
      </c>
      <c r="C841" s="9" t="s">
        <v>1604</v>
      </c>
      <c r="D841" s="9" t="s">
        <v>1604</v>
      </c>
      <c r="E841" s="9" t="s">
        <v>1605</v>
      </c>
      <c r="F841" s="9" t="s">
        <v>91</v>
      </c>
      <c r="G841" s="14" t="s">
        <v>56</v>
      </c>
      <c r="H841" s="9">
        <v>1.0</v>
      </c>
      <c r="I841" s="9">
        <v>1.0</v>
      </c>
      <c r="J841" s="9" t="s">
        <v>1608</v>
      </c>
      <c r="K841" s="9" t="s">
        <v>1608</v>
      </c>
      <c r="L841" s="9" t="s">
        <v>1608</v>
      </c>
      <c r="M841" s="9" t="s">
        <v>1608</v>
      </c>
      <c r="N841" s="8"/>
    </row>
    <row r="842" ht="15.75" customHeight="1">
      <c r="A842" s="45" t="s">
        <v>1671</v>
      </c>
      <c r="B842" s="120">
        <v>45952.0</v>
      </c>
      <c r="C842" s="9" t="s">
        <v>1604</v>
      </c>
      <c r="D842" s="9" t="s">
        <v>1604</v>
      </c>
      <c r="E842" s="9" t="s">
        <v>1605</v>
      </c>
      <c r="F842" s="9" t="s">
        <v>91</v>
      </c>
      <c r="G842" s="14" t="s">
        <v>56</v>
      </c>
      <c r="H842" s="9">
        <v>1.0</v>
      </c>
      <c r="I842" s="9">
        <v>1.0</v>
      </c>
      <c r="J842" s="9" t="s">
        <v>1608</v>
      </c>
      <c r="K842" s="9" t="s">
        <v>1608</v>
      </c>
      <c r="L842" s="9" t="s">
        <v>1608</v>
      </c>
      <c r="M842" s="9" t="s">
        <v>1608</v>
      </c>
      <c r="N842" s="8"/>
    </row>
    <row r="843" ht="15.75" customHeight="1">
      <c r="A843" s="45" t="s">
        <v>1672</v>
      </c>
      <c r="B843" s="120">
        <v>45958.0</v>
      </c>
      <c r="C843" s="9" t="s">
        <v>1604</v>
      </c>
      <c r="D843" s="9" t="s">
        <v>1604</v>
      </c>
      <c r="E843" s="9" t="s">
        <v>1605</v>
      </c>
      <c r="F843" s="9" t="s">
        <v>91</v>
      </c>
      <c r="G843" s="14" t="s">
        <v>56</v>
      </c>
      <c r="H843" s="9">
        <v>1.0</v>
      </c>
      <c r="I843" s="9">
        <v>1.0</v>
      </c>
      <c r="J843" s="9" t="s">
        <v>1608</v>
      </c>
      <c r="K843" s="9" t="s">
        <v>1608</v>
      </c>
      <c r="L843" s="9" t="s">
        <v>1608</v>
      </c>
      <c r="M843" s="9" t="s">
        <v>1608</v>
      </c>
      <c r="N843" s="8"/>
    </row>
    <row r="844" ht="15.75" customHeight="1">
      <c r="A844" s="45" t="s">
        <v>1673</v>
      </c>
      <c r="B844" s="120">
        <v>45964.99967592592</v>
      </c>
      <c r="C844" s="9" t="s">
        <v>1604</v>
      </c>
      <c r="D844" s="9" t="s">
        <v>1604</v>
      </c>
      <c r="E844" s="9" t="s">
        <v>1605</v>
      </c>
      <c r="F844" s="9" t="s">
        <v>91</v>
      </c>
      <c r="G844" s="14" t="s">
        <v>56</v>
      </c>
      <c r="H844" s="9">
        <v>1.0</v>
      </c>
      <c r="I844" s="9">
        <v>1.0</v>
      </c>
      <c r="J844" s="9" t="s">
        <v>1608</v>
      </c>
      <c r="K844" s="9" t="s">
        <v>1608</v>
      </c>
      <c r="L844" s="9" t="s">
        <v>1608</v>
      </c>
      <c r="M844" s="9" t="s">
        <v>1608</v>
      </c>
      <c r="N844" s="8"/>
    </row>
    <row r="845" ht="15.75" customHeight="1">
      <c r="A845" s="45" t="s">
        <v>1674</v>
      </c>
      <c r="B845" s="120">
        <v>45971.99967592592</v>
      </c>
      <c r="C845" s="9" t="s">
        <v>1604</v>
      </c>
      <c r="D845" s="9" t="s">
        <v>1604</v>
      </c>
      <c r="E845" s="9" t="s">
        <v>1605</v>
      </c>
      <c r="F845" s="9" t="s">
        <v>91</v>
      </c>
      <c r="G845" s="14" t="s">
        <v>56</v>
      </c>
      <c r="H845" s="9">
        <v>1.0</v>
      </c>
      <c r="I845" s="9">
        <v>1.0</v>
      </c>
      <c r="J845" s="9" t="s">
        <v>1608</v>
      </c>
      <c r="K845" s="9" t="s">
        <v>1608</v>
      </c>
      <c r="L845" s="9" t="s">
        <v>1608</v>
      </c>
      <c r="M845" s="9" t="s">
        <v>1608</v>
      </c>
      <c r="N845" s="8"/>
    </row>
    <row r="846" ht="15.75" customHeight="1">
      <c r="A846" s="45" t="s">
        <v>1675</v>
      </c>
      <c r="B846" s="120">
        <v>45979.0</v>
      </c>
      <c r="C846" s="9" t="s">
        <v>1604</v>
      </c>
      <c r="D846" s="9" t="s">
        <v>1604</v>
      </c>
      <c r="E846" s="9" t="s">
        <v>1605</v>
      </c>
      <c r="F846" s="9" t="s">
        <v>91</v>
      </c>
      <c r="G846" s="14" t="s">
        <v>56</v>
      </c>
      <c r="H846" s="9">
        <v>1.0</v>
      </c>
      <c r="I846" s="9">
        <v>1.0</v>
      </c>
      <c r="J846" s="9" t="s">
        <v>1608</v>
      </c>
      <c r="K846" s="9" t="s">
        <v>1608</v>
      </c>
      <c r="L846" s="9" t="s">
        <v>1608</v>
      </c>
      <c r="M846" s="9" t="s">
        <v>1608</v>
      </c>
      <c r="N846" s="8"/>
    </row>
    <row r="847" ht="15.75" customHeight="1">
      <c r="A847" s="45" t="s">
        <v>1676</v>
      </c>
      <c r="B847" s="120">
        <v>45980.0</v>
      </c>
      <c r="C847" s="9" t="s">
        <v>1604</v>
      </c>
      <c r="D847" s="9" t="s">
        <v>1604</v>
      </c>
      <c r="E847" s="9" t="s">
        <v>1605</v>
      </c>
      <c r="F847" s="9" t="s">
        <v>91</v>
      </c>
      <c r="G847" s="14" t="s">
        <v>56</v>
      </c>
      <c r="H847" s="9">
        <v>1.0</v>
      </c>
      <c r="I847" s="9">
        <v>1.0</v>
      </c>
      <c r="J847" s="9" t="s">
        <v>1608</v>
      </c>
      <c r="K847" s="9" t="s">
        <v>1608</v>
      </c>
      <c r="L847" s="9" t="s">
        <v>1608</v>
      </c>
      <c r="M847" s="9" t="s">
        <v>1608</v>
      </c>
      <c r="N847" s="8"/>
    </row>
    <row r="848" ht="15.75" customHeight="1">
      <c r="A848" s="45" t="s">
        <v>1677</v>
      </c>
      <c r="B848" s="120">
        <v>45981.0</v>
      </c>
      <c r="C848" s="9" t="s">
        <v>1604</v>
      </c>
      <c r="D848" s="9" t="s">
        <v>1604</v>
      </c>
      <c r="E848" s="9" t="s">
        <v>1605</v>
      </c>
      <c r="F848" s="9" t="s">
        <v>91</v>
      </c>
      <c r="G848" s="14" t="s">
        <v>56</v>
      </c>
      <c r="H848" s="9">
        <v>1.0</v>
      </c>
      <c r="I848" s="9">
        <v>1.0</v>
      </c>
      <c r="J848" s="9" t="s">
        <v>1608</v>
      </c>
      <c r="K848" s="9" t="s">
        <v>1608</v>
      </c>
      <c r="L848" s="9" t="s">
        <v>1608</v>
      </c>
      <c r="M848" s="9" t="s">
        <v>1608</v>
      </c>
      <c r="N848" s="8"/>
    </row>
    <row r="849" ht="15.75" customHeight="1">
      <c r="A849" s="45" t="s">
        <v>1678</v>
      </c>
      <c r="B849" s="120">
        <v>45981.0</v>
      </c>
      <c r="C849" s="9" t="s">
        <v>1604</v>
      </c>
      <c r="D849" s="9" t="s">
        <v>1604</v>
      </c>
      <c r="E849" s="9" t="s">
        <v>1605</v>
      </c>
      <c r="F849" s="9" t="s">
        <v>91</v>
      </c>
      <c r="G849" s="14" t="s">
        <v>56</v>
      </c>
      <c r="H849" s="9">
        <v>1.0</v>
      </c>
      <c r="I849" s="9">
        <v>1.0</v>
      </c>
      <c r="J849" s="9" t="s">
        <v>1608</v>
      </c>
      <c r="K849" s="9" t="s">
        <v>1608</v>
      </c>
      <c r="L849" s="9" t="s">
        <v>1608</v>
      </c>
      <c r="M849" s="9" t="s">
        <v>1608</v>
      </c>
      <c r="N849" s="8"/>
    </row>
    <row r="850" ht="15.75" customHeight="1">
      <c r="A850" s="45" t="s">
        <v>1679</v>
      </c>
      <c r="B850" s="120">
        <v>45982.0</v>
      </c>
      <c r="C850" s="9" t="s">
        <v>1604</v>
      </c>
      <c r="D850" s="9" t="s">
        <v>1604</v>
      </c>
      <c r="E850" s="9" t="s">
        <v>1605</v>
      </c>
      <c r="F850" s="9" t="s">
        <v>91</v>
      </c>
      <c r="G850" s="14" t="s">
        <v>56</v>
      </c>
      <c r="H850" s="9">
        <v>1.0</v>
      </c>
      <c r="I850" s="9">
        <v>1.0</v>
      </c>
      <c r="J850" s="9" t="s">
        <v>1608</v>
      </c>
      <c r="K850" s="9" t="s">
        <v>1608</v>
      </c>
      <c r="L850" s="9" t="s">
        <v>1608</v>
      </c>
      <c r="M850" s="9" t="s">
        <v>1608</v>
      </c>
      <c r="N850" s="8"/>
    </row>
    <row r="851" ht="15.75" customHeight="1">
      <c r="A851" s="6" t="s">
        <v>1680</v>
      </c>
      <c r="B851" s="114"/>
      <c r="C851" s="27"/>
      <c r="D851" s="27"/>
      <c r="E851" s="27"/>
      <c r="F851" s="114"/>
      <c r="G851" s="27"/>
      <c r="H851" s="27"/>
      <c r="I851" s="27"/>
      <c r="J851" s="27"/>
      <c r="K851" s="27"/>
      <c r="L851" s="27"/>
      <c r="M851" s="27"/>
      <c r="N851" s="27"/>
    </row>
    <row r="852" ht="15.75" customHeight="1">
      <c r="A852" s="18" t="s">
        <v>1681</v>
      </c>
      <c r="B852" s="7"/>
      <c r="C852" s="7"/>
      <c r="D852" s="7"/>
      <c r="E852" s="7"/>
      <c r="F852" s="7"/>
      <c r="G852" s="7"/>
      <c r="H852" s="7"/>
      <c r="I852" s="7"/>
      <c r="J852" s="7"/>
      <c r="K852" s="7"/>
      <c r="L852" s="7"/>
      <c r="M852" s="7"/>
      <c r="N852" s="8"/>
    </row>
    <row r="853" ht="15.75" customHeight="1">
      <c r="A853" s="121" t="s">
        <v>1682</v>
      </c>
      <c r="B853" s="49" t="s">
        <v>1592</v>
      </c>
      <c r="C853" s="49" t="s">
        <v>1593</v>
      </c>
      <c r="D853" s="49" t="s">
        <v>1594</v>
      </c>
      <c r="E853" s="49" t="s">
        <v>1595</v>
      </c>
      <c r="F853" s="49" t="s">
        <v>41</v>
      </c>
      <c r="G853" s="49" t="s">
        <v>1596</v>
      </c>
      <c r="H853" s="49" t="s">
        <v>1683</v>
      </c>
      <c r="I853" s="49" t="s">
        <v>1684</v>
      </c>
      <c r="J853" s="49" t="s">
        <v>1599</v>
      </c>
      <c r="K853" s="49" t="s">
        <v>1600</v>
      </c>
      <c r="L853" s="49" t="s">
        <v>1601</v>
      </c>
      <c r="M853" s="49" t="s">
        <v>1602</v>
      </c>
      <c r="N853" s="50"/>
      <c r="O853" s="51"/>
      <c r="P853" s="51"/>
      <c r="Q853" s="51"/>
      <c r="R853" s="51"/>
      <c r="S853" s="51"/>
      <c r="T853" s="51"/>
      <c r="U853" s="51"/>
      <c r="V853" s="51"/>
      <c r="W853" s="51"/>
      <c r="X853" s="51"/>
      <c r="Y853" s="51"/>
      <c r="Z853" s="51"/>
      <c r="AB853" s="51"/>
      <c r="AC853" s="51"/>
      <c r="AD853" s="51"/>
      <c r="AE853" s="51"/>
      <c r="AF853" s="51"/>
      <c r="AG853" s="51"/>
      <c r="AH853" s="51"/>
    </row>
    <row r="854" ht="15.75" customHeight="1">
      <c r="A854" s="45"/>
      <c r="B854" s="18">
        <v>0.0</v>
      </c>
      <c r="C854" s="18">
        <v>0.0</v>
      </c>
      <c r="D854" s="18">
        <v>0.0</v>
      </c>
      <c r="E854" s="18">
        <v>0.0</v>
      </c>
      <c r="F854" s="18">
        <v>0.0</v>
      </c>
      <c r="G854" s="18">
        <v>0.0</v>
      </c>
      <c r="H854" s="18">
        <v>0.0</v>
      </c>
      <c r="I854" s="18">
        <v>0.0</v>
      </c>
      <c r="J854" s="18">
        <v>0.0</v>
      </c>
      <c r="K854" s="18">
        <v>0.0</v>
      </c>
      <c r="L854" s="18">
        <v>0.0</v>
      </c>
      <c r="M854" s="18">
        <v>0.0</v>
      </c>
      <c r="N854" s="8"/>
    </row>
    <row r="855" ht="15.75" customHeight="1">
      <c r="A855" s="6" t="s">
        <v>1685</v>
      </c>
      <c r="B855" s="27"/>
      <c r="C855" s="27"/>
      <c r="D855" s="27"/>
      <c r="E855" s="27"/>
      <c r="F855" s="27"/>
      <c r="G855" s="27"/>
      <c r="H855" s="27"/>
      <c r="I855" s="27"/>
      <c r="J855" s="27"/>
      <c r="K855" s="27"/>
      <c r="L855" s="27"/>
      <c r="M855" s="27"/>
      <c r="N855" s="27"/>
    </row>
    <row r="856" ht="15.75" customHeight="1">
      <c r="A856" s="7" t="s">
        <v>1686</v>
      </c>
      <c r="B856" s="122" t="s">
        <v>1687</v>
      </c>
      <c r="C856" s="7"/>
      <c r="D856" s="7"/>
      <c r="E856" s="7"/>
      <c r="F856" s="7"/>
      <c r="G856" s="7"/>
      <c r="H856" s="7"/>
      <c r="I856" s="7"/>
      <c r="J856" s="7"/>
      <c r="K856" s="7"/>
      <c r="L856" s="7"/>
      <c r="M856" s="7"/>
      <c r="N856" s="8"/>
      <c r="O856" s="51"/>
      <c r="P856" s="51"/>
      <c r="AB856" s="51"/>
      <c r="AC856" s="51"/>
      <c r="AD856" s="51"/>
    </row>
    <row r="857" ht="15.75" customHeight="1">
      <c r="A857" s="7" t="s">
        <v>1688</v>
      </c>
      <c r="B857" s="122">
        <f>COUNTA(A859:A864)</f>
        <v>6</v>
      </c>
      <c r="C857" s="7"/>
      <c r="D857" s="7"/>
      <c r="E857" s="7"/>
      <c r="F857" s="7"/>
      <c r="G857" s="7"/>
      <c r="H857" s="7"/>
      <c r="I857" s="7"/>
      <c r="J857" s="7"/>
      <c r="K857" s="7"/>
      <c r="L857" s="7"/>
      <c r="M857" s="7"/>
      <c r="N857" s="8"/>
    </row>
    <row r="858" ht="15.75" customHeight="1">
      <c r="A858" s="48" t="s">
        <v>38</v>
      </c>
      <c r="B858" s="49" t="s">
        <v>1592</v>
      </c>
      <c r="C858" s="123" t="s">
        <v>1593</v>
      </c>
      <c r="D858" s="123" t="s">
        <v>1594</v>
      </c>
      <c r="E858" s="49" t="s">
        <v>1595</v>
      </c>
      <c r="F858" s="49" t="s">
        <v>41</v>
      </c>
      <c r="G858" s="49" t="s">
        <v>1596</v>
      </c>
      <c r="H858" s="123" t="s">
        <v>1683</v>
      </c>
      <c r="I858" s="123" t="s">
        <v>1684</v>
      </c>
      <c r="J858" s="49" t="s">
        <v>1599</v>
      </c>
      <c r="K858" s="49" t="s">
        <v>1600</v>
      </c>
      <c r="L858" s="123" t="s">
        <v>1601</v>
      </c>
      <c r="M858" s="49" t="s">
        <v>1602</v>
      </c>
      <c r="N858" s="50"/>
      <c r="O858" s="51"/>
      <c r="P858" s="51"/>
      <c r="Q858" s="51"/>
      <c r="R858" s="51"/>
      <c r="S858" s="51"/>
      <c r="T858" s="51"/>
      <c r="U858" s="51"/>
      <c r="V858" s="51"/>
      <c r="W858" s="51"/>
      <c r="X858" s="51"/>
      <c r="Y858" s="51"/>
      <c r="Z858" s="51"/>
      <c r="AB858" s="51"/>
      <c r="AC858" s="51"/>
      <c r="AD858" s="51"/>
      <c r="AE858" s="51"/>
      <c r="AF858" s="51"/>
      <c r="AG858" s="51"/>
      <c r="AH858" s="51"/>
    </row>
    <row r="859" ht="15.75" customHeight="1">
      <c r="A859" s="45" t="s">
        <v>1689</v>
      </c>
      <c r="B859" s="54">
        <v>45680.0</v>
      </c>
      <c r="C859" s="120" t="s">
        <v>1690</v>
      </c>
      <c r="D859" s="14" t="s">
        <v>1691</v>
      </c>
      <c r="E859" s="9" t="s">
        <v>1692</v>
      </c>
      <c r="F859" s="9" t="s">
        <v>49</v>
      </c>
      <c r="G859" s="9" t="s">
        <v>1693</v>
      </c>
      <c r="H859" s="9">
        <v>5.0</v>
      </c>
      <c r="I859" s="9">
        <v>5.0</v>
      </c>
      <c r="J859" s="9">
        <v>0.0</v>
      </c>
      <c r="K859" s="9">
        <v>0.0</v>
      </c>
      <c r="L859" s="9" t="s">
        <v>1694</v>
      </c>
      <c r="M859" s="9">
        <v>0.0</v>
      </c>
      <c r="N859" s="8"/>
    </row>
    <row r="860" ht="15.75" customHeight="1">
      <c r="A860" s="45" t="s">
        <v>1695</v>
      </c>
      <c r="B860" s="54">
        <v>45680.0</v>
      </c>
      <c r="C860" s="120">
        <v>45930.0</v>
      </c>
      <c r="D860" s="14" t="s">
        <v>1696</v>
      </c>
      <c r="E860" s="9" t="s">
        <v>1692</v>
      </c>
      <c r="F860" s="9" t="s">
        <v>49</v>
      </c>
      <c r="G860" s="9" t="s">
        <v>1697</v>
      </c>
      <c r="H860" s="9">
        <v>5.0</v>
      </c>
      <c r="I860" s="9">
        <v>3.0</v>
      </c>
      <c r="J860" s="9">
        <v>0.0</v>
      </c>
      <c r="K860" s="9">
        <v>0.0</v>
      </c>
      <c r="L860" s="124" t="s">
        <v>1698</v>
      </c>
      <c r="M860" s="9">
        <v>0.0</v>
      </c>
      <c r="N860" s="8"/>
    </row>
    <row r="861" ht="15.75" customHeight="1">
      <c r="A861" s="45" t="s">
        <v>1699</v>
      </c>
      <c r="B861" s="54">
        <v>45680.0</v>
      </c>
      <c r="C861" s="120" t="s">
        <v>1690</v>
      </c>
      <c r="D861" s="14" t="s">
        <v>1700</v>
      </c>
      <c r="E861" s="9" t="s">
        <v>1692</v>
      </c>
      <c r="F861" s="9" t="s">
        <v>49</v>
      </c>
      <c r="G861" s="9" t="s">
        <v>1693</v>
      </c>
      <c r="H861" s="9">
        <v>4.0</v>
      </c>
      <c r="I861" s="9">
        <v>4.0</v>
      </c>
      <c r="J861" s="9">
        <v>0.0</v>
      </c>
      <c r="K861" s="9">
        <v>0.0</v>
      </c>
      <c r="L861" s="124" t="s">
        <v>1701</v>
      </c>
      <c r="M861" s="9">
        <v>0.0</v>
      </c>
      <c r="N861" s="8"/>
    </row>
    <row r="862" ht="15.75" customHeight="1">
      <c r="A862" s="45" t="s">
        <v>1702</v>
      </c>
      <c r="B862" s="54">
        <v>45680.0</v>
      </c>
      <c r="C862" s="120">
        <v>45930.0</v>
      </c>
      <c r="D862" s="14" t="s">
        <v>1696</v>
      </c>
      <c r="E862" s="9" t="s">
        <v>1692</v>
      </c>
      <c r="F862" s="9" t="s">
        <v>49</v>
      </c>
      <c r="G862" s="9" t="s">
        <v>1693</v>
      </c>
      <c r="H862" s="9">
        <v>4.0</v>
      </c>
      <c r="I862" s="9">
        <v>5.0</v>
      </c>
      <c r="J862" s="9">
        <v>0.0</v>
      </c>
      <c r="K862" s="9">
        <v>0.0</v>
      </c>
      <c r="L862" s="9" t="s">
        <v>1703</v>
      </c>
      <c r="M862" s="9">
        <v>0.0</v>
      </c>
      <c r="N862" s="8"/>
    </row>
    <row r="863" ht="15.75" customHeight="1">
      <c r="A863" s="45" t="s">
        <v>1704</v>
      </c>
      <c r="B863" s="54">
        <v>45680.0</v>
      </c>
      <c r="C863" s="120" t="s">
        <v>1690</v>
      </c>
      <c r="D863" s="14" t="s">
        <v>1691</v>
      </c>
      <c r="E863" s="9" t="s">
        <v>1692</v>
      </c>
      <c r="F863" s="9" t="s">
        <v>49</v>
      </c>
      <c r="G863" s="9" t="s">
        <v>1693</v>
      </c>
      <c r="H863" s="9">
        <v>4.0</v>
      </c>
      <c r="I863" s="9">
        <v>4.0</v>
      </c>
      <c r="J863" s="9">
        <v>0.0</v>
      </c>
      <c r="K863" s="9">
        <v>0.0</v>
      </c>
      <c r="L863" s="124" t="s">
        <v>1705</v>
      </c>
      <c r="M863" s="9">
        <v>0.0</v>
      </c>
      <c r="N863" s="8"/>
    </row>
    <row r="864" ht="15.75" customHeight="1">
      <c r="A864" s="45" t="s">
        <v>1706</v>
      </c>
      <c r="B864" s="54">
        <v>45680.0</v>
      </c>
      <c r="C864" s="120" t="s">
        <v>1690</v>
      </c>
      <c r="D864" s="14" t="s">
        <v>1700</v>
      </c>
      <c r="E864" s="9" t="s">
        <v>1692</v>
      </c>
      <c r="F864" s="9" t="s">
        <v>49</v>
      </c>
      <c r="G864" s="9" t="s">
        <v>1693</v>
      </c>
      <c r="H864" s="9">
        <v>2.0</v>
      </c>
      <c r="I864" s="9">
        <v>2.0</v>
      </c>
      <c r="J864" s="9">
        <v>0.0</v>
      </c>
      <c r="K864" s="9">
        <v>0.0</v>
      </c>
      <c r="L864" s="124" t="s">
        <v>1707</v>
      </c>
      <c r="M864" s="9">
        <v>0.0</v>
      </c>
      <c r="N864" s="8"/>
    </row>
    <row r="865" ht="15.75" customHeight="1">
      <c r="A865" s="6" t="s">
        <v>1708</v>
      </c>
      <c r="B865" s="27"/>
      <c r="C865" s="114"/>
      <c r="D865" s="114"/>
      <c r="E865" s="27"/>
      <c r="F865" s="27"/>
      <c r="G865" s="27"/>
      <c r="H865" s="114"/>
      <c r="I865" s="114"/>
      <c r="J865" s="27"/>
      <c r="K865" s="27"/>
      <c r="L865" s="114"/>
      <c r="M865" s="27"/>
      <c r="N865" s="27"/>
    </row>
    <row r="866" ht="15.75" customHeight="1">
      <c r="A866" s="7" t="s">
        <v>1709</v>
      </c>
      <c r="B866" s="122">
        <f>COUNTA(A868:A872)</f>
        <v>5</v>
      </c>
      <c r="C866" s="18"/>
      <c r="D866" s="18"/>
      <c r="E866" s="18"/>
      <c r="F866" s="18"/>
      <c r="G866" s="18"/>
      <c r="H866" s="18"/>
      <c r="I866" s="18"/>
      <c r="J866" s="18"/>
      <c r="K866" s="18"/>
      <c r="L866" s="18"/>
      <c r="M866" s="18"/>
      <c r="N866" s="8"/>
    </row>
    <row r="867" ht="15.75" customHeight="1">
      <c r="A867" s="48" t="s">
        <v>38</v>
      </c>
      <c r="B867" s="49" t="s">
        <v>1592</v>
      </c>
      <c r="C867" s="49" t="s">
        <v>1593</v>
      </c>
      <c r="D867" s="49" t="s">
        <v>1594</v>
      </c>
      <c r="E867" s="49" t="s">
        <v>1595</v>
      </c>
      <c r="F867" s="49" t="s">
        <v>41</v>
      </c>
      <c r="G867" s="49" t="s">
        <v>1596</v>
      </c>
      <c r="H867" s="49" t="s">
        <v>1683</v>
      </c>
      <c r="I867" s="49" t="s">
        <v>1684</v>
      </c>
      <c r="J867" s="49" t="s">
        <v>1599</v>
      </c>
      <c r="K867" s="49" t="s">
        <v>1600</v>
      </c>
      <c r="L867" s="49" t="s">
        <v>1601</v>
      </c>
      <c r="M867" s="49" t="s">
        <v>1602</v>
      </c>
      <c r="N867" s="50"/>
      <c r="O867" s="51"/>
      <c r="P867" s="51"/>
      <c r="Q867" s="51"/>
      <c r="R867" s="51"/>
      <c r="S867" s="51"/>
      <c r="T867" s="51"/>
      <c r="U867" s="51"/>
      <c r="V867" s="51"/>
      <c r="W867" s="51"/>
      <c r="X867" s="51"/>
      <c r="Y867" s="51"/>
      <c r="Z867" s="51"/>
      <c r="AB867" s="51"/>
      <c r="AC867" s="51"/>
      <c r="AD867" s="51"/>
      <c r="AE867" s="51"/>
      <c r="AF867" s="51"/>
      <c r="AG867" s="51"/>
      <c r="AH867" s="51"/>
    </row>
    <row r="868" ht="15.75" customHeight="1">
      <c r="A868" s="45" t="s">
        <v>1710</v>
      </c>
      <c r="B868" s="9">
        <v>2025.0</v>
      </c>
      <c r="C868" s="9">
        <v>2025.0</v>
      </c>
      <c r="D868" s="9" t="s">
        <v>1711</v>
      </c>
      <c r="E868" s="9" t="s">
        <v>270</v>
      </c>
      <c r="F868" s="9" t="s">
        <v>49</v>
      </c>
      <c r="G868" s="9" t="s">
        <v>1712</v>
      </c>
      <c r="H868" s="9">
        <v>2.0</v>
      </c>
      <c r="I868" s="9">
        <v>2.0</v>
      </c>
      <c r="J868" s="9" t="s">
        <v>1608</v>
      </c>
      <c r="K868" s="9" t="s">
        <v>1713</v>
      </c>
      <c r="L868" s="9" t="s">
        <v>1714</v>
      </c>
      <c r="M868" s="9" t="s">
        <v>1608</v>
      </c>
      <c r="N868" s="8"/>
    </row>
    <row r="869" ht="15.75" customHeight="1">
      <c r="A869" s="45" t="s">
        <v>1715</v>
      </c>
      <c r="B869" s="9">
        <v>2025.0</v>
      </c>
      <c r="C869" s="9">
        <v>2025.0</v>
      </c>
      <c r="D869" s="9" t="s">
        <v>1711</v>
      </c>
      <c r="E869" s="9" t="s">
        <v>270</v>
      </c>
      <c r="F869" s="9" t="s">
        <v>49</v>
      </c>
      <c r="G869" s="9" t="s">
        <v>1716</v>
      </c>
      <c r="H869" s="9">
        <v>4.0</v>
      </c>
      <c r="I869" s="9">
        <v>4.0</v>
      </c>
      <c r="J869" s="9" t="s">
        <v>1608</v>
      </c>
      <c r="K869" s="9" t="s">
        <v>1713</v>
      </c>
      <c r="L869" s="9" t="s">
        <v>1717</v>
      </c>
      <c r="M869" s="9" t="s">
        <v>1608</v>
      </c>
      <c r="N869" s="8"/>
    </row>
    <row r="870" ht="15.75" customHeight="1">
      <c r="A870" s="45" t="s">
        <v>1718</v>
      </c>
      <c r="B870" s="9">
        <v>2025.0</v>
      </c>
      <c r="C870" s="9">
        <v>2025.0</v>
      </c>
      <c r="D870" s="9" t="s">
        <v>1711</v>
      </c>
      <c r="E870" s="9" t="s">
        <v>270</v>
      </c>
      <c r="F870" s="9" t="s">
        <v>49</v>
      </c>
      <c r="G870" s="9" t="s">
        <v>1719</v>
      </c>
      <c r="H870" s="9">
        <v>2.0</v>
      </c>
      <c r="I870" s="9">
        <v>2.0</v>
      </c>
      <c r="J870" s="9" t="s">
        <v>1608</v>
      </c>
      <c r="K870" s="9" t="s">
        <v>1720</v>
      </c>
      <c r="L870" s="9" t="s">
        <v>1721</v>
      </c>
      <c r="M870" s="9" t="s">
        <v>1608</v>
      </c>
      <c r="N870" s="8"/>
    </row>
    <row r="871" ht="15.75" customHeight="1">
      <c r="A871" s="45" t="s">
        <v>1722</v>
      </c>
      <c r="B871" s="9">
        <v>2025.0</v>
      </c>
      <c r="C871" s="9">
        <v>2025.0</v>
      </c>
      <c r="D871" s="9" t="s">
        <v>1711</v>
      </c>
      <c r="E871" s="9" t="s">
        <v>270</v>
      </c>
      <c r="F871" s="9" t="s">
        <v>49</v>
      </c>
      <c r="G871" s="9" t="s">
        <v>1341</v>
      </c>
      <c r="H871" s="9">
        <v>4.0</v>
      </c>
      <c r="I871" s="9">
        <v>6.0</v>
      </c>
      <c r="J871" s="9" t="s">
        <v>1608</v>
      </c>
      <c r="K871" s="9" t="s">
        <v>1720</v>
      </c>
      <c r="L871" s="52" t="s">
        <v>1721</v>
      </c>
      <c r="M871" s="9" t="s">
        <v>1608</v>
      </c>
      <c r="N871" s="8"/>
    </row>
    <row r="872" ht="15.75" customHeight="1">
      <c r="A872" s="45" t="s">
        <v>1723</v>
      </c>
      <c r="B872" s="9">
        <v>2025.0</v>
      </c>
      <c r="C872" s="9">
        <v>2025.0</v>
      </c>
      <c r="D872" s="9" t="s">
        <v>1711</v>
      </c>
      <c r="E872" s="9" t="s">
        <v>270</v>
      </c>
      <c r="F872" s="9" t="s">
        <v>49</v>
      </c>
      <c r="G872" s="9" t="s">
        <v>1341</v>
      </c>
      <c r="H872" s="9">
        <v>1.0</v>
      </c>
      <c r="I872" s="9">
        <v>1.0</v>
      </c>
      <c r="J872" s="9" t="s">
        <v>1608</v>
      </c>
      <c r="K872" s="9" t="s">
        <v>1713</v>
      </c>
      <c r="L872" s="9" t="s">
        <v>1717</v>
      </c>
      <c r="M872" s="9" t="s">
        <v>1608</v>
      </c>
      <c r="N872" s="8"/>
    </row>
    <row r="873" ht="15.75" customHeight="1">
      <c r="A873" s="6" t="s">
        <v>1724</v>
      </c>
      <c r="B873" s="27"/>
      <c r="C873" s="27"/>
      <c r="D873" s="27"/>
      <c r="E873" s="27"/>
      <c r="F873" s="27"/>
      <c r="G873" s="27"/>
      <c r="H873" s="27"/>
      <c r="I873" s="27"/>
      <c r="J873" s="27"/>
      <c r="K873" s="27"/>
      <c r="L873" s="27"/>
      <c r="M873" s="27"/>
      <c r="N873" s="27"/>
    </row>
    <row r="874" ht="15.75" customHeight="1">
      <c r="A874" s="7" t="s">
        <v>1725</v>
      </c>
      <c r="B874" s="9">
        <f>COUNT(B911:B952)</f>
        <v>42</v>
      </c>
      <c r="C874" s="9">
        <f>COUNT(B909:B910)</f>
        <v>2</v>
      </c>
      <c r="D874" s="9">
        <f>COUNT(B906:B908)</f>
        <v>3</v>
      </c>
      <c r="E874" s="9">
        <f>COUNT(B904:B905)</f>
        <v>2</v>
      </c>
      <c r="F874" s="9">
        <f>COUNT(B892:B903)</f>
        <v>12</v>
      </c>
      <c r="G874" s="9">
        <f>COUNT(B889:B891)</f>
        <v>3</v>
      </c>
      <c r="H874" s="9">
        <f>COUNT(B882:B888)</f>
        <v>7</v>
      </c>
      <c r="I874" s="9">
        <f>COUNT(B877:B881)</f>
        <v>5</v>
      </c>
      <c r="J874" s="9">
        <f>COUNT(B876)</f>
        <v>1</v>
      </c>
      <c r="K874" s="9">
        <v>0.0</v>
      </c>
      <c r="L874" s="9">
        <v>0.0</v>
      </c>
      <c r="M874" s="9">
        <v>0.0</v>
      </c>
      <c r="N874" s="8">
        <f>SUM(B874:M874)</f>
        <v>77</v>
      </c>
    </row>
    <row r="875" ht="15.75" customHeight="1">
      <c r="A875" s="48" t="s">
        <v>38</v>
      </c>
      <c r="B875" s="49" t="s">
        <v>1592</v>
      </c>
      <c r="C875" s="49" t="s">
        <v>1593</v>
      </c>
      <c r="D875" s="49" t="s">
        <v>1594</v>
      </c>
      <c r="E875" s="49" t="s">
        <v>1595</v>
      </c>
      <c r="F875" s="49" t="s">
        <v>41</v>
      </c>
      <c r="G875" s="49" t="s">
        <v>1596</v>
      </c>
      <c r="H875" s="125" t="s">
        <v>1726</v>
      </c>
      <c r="I875" s="125" t="s">
        <v>1727</v>
      </c>
      <c r="J875" s="49" t="s">
        <v>1599</v>
      </c>
      <c r="K875" s="49" t="s">
        <v>1600</v>
      </c>
      <c r="L875" s="125" t="s">
        <v>1601</v>
      </c>
      <c r="M875" s="49" t="s">
        <v>1602</v>
      </c>
      <c r="N875" s="50"/>
      <c r="O875" s="51"/>
      <c r="P875" s="51"/>
      <c r="Q875" s="51"/>
      <c r="R875" s="51"/>
      <c r="S875" s="51"/>
      <c r="T875" s="51"/>
      <c r="U875" s="51"/>
      <c r="V875" s="51"/>
      <c r="W875" s="51"/>
      <c r="X875" s="51"/>
      <c r="Y875" s="51"/>
      <c r="Z875" s="51"/>
      <c r="AB875" s="51"/>
      <c r="AC875" s="51"/>
      <c r="AD875" s="51"/>
      <c r="AE875" s="51"/>
      <c r="AF875" s="51"/>
      <c r="AG875" s="51"/>
      <c r="AH875" s="51"/>
    </row>
    <row r="876" ht="15.75" customHeight="1">
      <c r="A876" s="126" t="s">
        <v>1728</v>
      </c>
      <c r="B876" s="127">
        <v>45901.0</v>
      </c>
      <c r="C876" s="127">
        <v>46997.0</v>
      </c>
      <c r="D876" s="73" t="s">
        <v>1729</v>
      </c>
      <c r="E876" s="58" t="s">
        <v>1608</v>
      </c>
      <c r="F876" s="58" t="s">
        <v>1730</v>
      </c>
      <c r="G876" s="58" t="s">
        <v>1411</v>
      </c>
      <c r="H876" s="36">
        <v>2.0</v>
      </c>
      <c r="I876" s="36">
        <v>2.0</v>
      </c>
      <c r="J876" s="14" t="s">
        <v>1731</v>
      </c>
      <c r="K876" s="14" t="s">
        <v>1731</v>
      </c>
      <c r="L876" s="128">
        <v>0.0</v>
      </c>
      <c r="M876" s="14" t="s">
        <v>1731</v>
      </c>
      <c r="N876" s="8"/>
    </row>
    <row r="877" ht="15.75" customHeight="1">
      <c r="A877" s="126" t="s">
        <v>1732</v>
      </c>
      <c r="B877" s="127">
        <v>45870.0</v>
      </c>
      <c r="C877" s="127">
        <v>46965.0</v>
      </c>
      <c r="D877" s="73" t="s">
        <v>1729</v>
      </c>
      <c r="E877" s="58" t="s">
        <v>1608</v>
      </c>
      <c r="F877" s="58" t="s">
        <v>1733</v>
      </c>
      <c r="G877" s="101" t="s">
        <v>1734</v>
      </c>
      <c r="H877" s="36">
        <v>5.0</v>
      </c>
      <c r="I877" s="36">
        <v>5.0</v>
      </c>
      <c r="J877" s="14" t="s">
        <v>1735</v>
      </c>
      <c r="K877" s="14" t="s">
        <v>1735</v>
      </c>
      <c r="L877" s="129">
        <v>7.2E7</v>
      </c>
      <c r="M877" s="14" t="s">
        <v>1731</v>
      </c>
      <c r="N877" s="8"/>
    </row>
    <row r="878" ht="15.75" customHeight="1">
      <c r="A878" s="126" t="s">
        <v>1736</v>
      </c>
      <c r="B878" s="127">
        <v>45870.0</v>
      </c>
      <c r="C878" s="127">
        <v>46965.0</v>
      </c>
      <c r="D878" s="73" t="s">
        <v>1729</v>
      </c>
      <c r="E878" s="58" t="s">
        <v>1608</v>
      </c>
      <c r="F878" s="58" t="s">
        <v>1737</v>
      </c>
      <c r="G878" s="58" t="s">
        <v>1738</v>
      </c>
      <c r="H878" s="45"/>
      <c r="I878" s="45"/>
      <c r="J878" s="45"/>
      <c r="K878" s="45"/>
      <c r="L878" s="130"/>
      <c r="M878" s="45"/>
      <c r="N878" s="8"/>
    </row>
    <row r="879" ht="15.75" customHeight="1">
      <c r="A879" s="131" t="s">
        <v>1739</v>
      </c>
      <c r="B879" s="127">
        <v>45870.0</v>
      </c>
      <c r="C879" s="127">
        <v>46234.0</v>
      </c>
      <c r="D879" s="73" t="s">
        <v>1729</v>
      </c>
      <c r="E879" s="58" t="s">
        <v>1608</v>
      </c>
      <c r="F879" s="58" t="s">
        <v>1740</v>
      </c>
      <c r="G879" s="58" t="s">
        <v>1741</v>
      </c>
      <c r="H879" s="45"/>
      <c r="I879" s="45"/>
      <c r="J879" s="45"/>
      <c r="K879" s="45"/>
      <c r="L879" s="130"/>
      <c r="M879" s="45"/>
      <c r="N879" s="8"/>
    </row>
    <row r="880" ht="15.75" customHeight="1">
      <c r="A880" s="126" t="s">
        <v>1742</v>
      </c>
      <c r="B880" s="127">
        <v>45870.0</v>
      </c>
      <c r="C880" s="127">
        <v>46964.0</v>
      </c>
      <c r="D880" s="73" t="s">
        <v>1729</v>
      </c>
      <c r="E880" s="58" t="s">
        <v>1608</v>
      </c>
      <c r="F880" s="132" t="s">
        <v>1743</v>
      </c>
      <c r="G880" s="58" t="s">
        <v>1744</v>
      </c>
      <c r="H880" s="36">
        <v>15.0</v>
      </c>
      <c r="I880" s="36">
        <v>15.0</v>
      </c>
      <c r="J880" s="14" t="s">
        <v>1735</v>
      </c>
      <c r="K880" s="14" t="s">
        <v>1735</v>
      </c>
      <c r="L880" s="133">
        <v>3.0E8</v>
      </c>
      <c r="M880" s="14" t="s">
        <v>1735</v>
      </c>
      <c r="N880" s="8"/>
    </row>
    <row r="881" ht="15.75" customHeight="1">
      <c r="A881" s="134" t="s">
        <v>1745</v>
      </c>
      <c r="B881" s="73">
        <v>45870.0</v>
      </c>
      <c r="C881" s="127">
        <v>46965.0</v>
      </c>
      <c r="D881" s="73" t="s">
        <v>1729</v>
      </c>
      <c r="E881" s="58" t="s">
        <v>1608</v>
      </c>
      <c r="F881" s="132" t="s">
        <v>1746</v>
      </c>
      <c r="G881" s="58" t="s">
        <v>1747</v>
      </c>
      <c r="H881" s="45"/>
      <c r="I881" s="45"/>
      <c r="J881" s="45"/>
      <c r="K881" s="45"/>
      <c r="L881" s="130"/>
      <c r="M881" s="45"/>
      <c r="N881" s="8"/>
    </row>
    <row r="882" ht="15.75" customHeight="1">
      <c r="A882" s="131" t="s">
        <v>1748</v>
      </c>
      <c r="B882" s="73">
        <v>45860.0</v>
      </c>
      <c r="C882" s="73">
        <v>46022.0</v>
      </c>
      <c r="D882" s="73" t="s">
        <v>1729</v>
      </c>
      <c r="E882" s="58" t="s">
        <v>1608</v>
      </c>
      <c r="F882" s="58" t="s">
        <v>1749</v>
      </c>
      <c r="G882" s="58" t="s">
        <v>1750</v>
      </c>
      <c r="H882" s="36">
        <v>3.0</v>
      </c>
      <c r="I882" s="36">
        <v>3.0</v>
      </c>
      <c r="J882" s="14" t="s">
        <v>1731</v>
      </c>
      <c r="K882" s="14" t="s">
        <v>1735</v>
      </c>
      <c r="L882" s="129">
        <v>0.0</v>
      </c>
      <c r="M882" s="14" t="s">
        <v>1731</v>
      </c>
      <c r="N882" s="8"/>
    </row>
    <row r="883" ht="15.75" customHeight="1">
      <c r="A883" s="135" t="s">
        <v>1751</v>
      </c>
      <c r="B883" s="136">
        <v>45848.0</v>
      </c>
      <c r="C883" s="136">
        <v>46943.0</v>
      </c>
      <c r="D883" s="73" t="s">
        <v>1729</v>
      </c>
      <c r="E883" s="58" t="s">
        <v>1608</v>
      </c>
      <c r="F883" s="63" t="s">
        <v>1752</v>
      </c>
      <c r="G883" s="63" t="s">
        <v>1382</v>
      </c>
      <c r="H883" s="36">
        <v>10.0</v>
      </c>
      <c r="I883" s="36">
        <v>10.0</v>
      </c>
      <c r="J883" s="63" t="s">
        <v>1731</v>
      </c>
      <c r="K883" s="14" t="s">
        <v>1735</v>
      </c>
      <c r="L883" s="129">
        <v>0.0</v>
      </c>
      <c r="M883" s="14" t="s">
        <v>1735</v>
      </c>
      <c r="N883" s="8"/>
    </row>
    <row r="884" ht="15.75" customHeight="1">
      <c r="A884" s="137" t="s">
        <v>1753</v>
      </c>
      <c r="B884" s="73">
        <v>45839.0</v>
      </c>
      <c r="C884" s="127">
        <v>46934.0</v>
      </c>
      <c r="D884" s="73" t="s">
        <v>1729</v>
      </c>
      <c r="E884" s="58" t="s">
        <v>1608</v>
      </c>
      <c r="F884" s="138" t="s">
        <v>1754</v>
      </c>
      <c r="G884" s="58" t="s">
        <v>1741</v>
      </c>
      <c r="H884" s="36">
        <v>12.0</v>
      </c>
      <c r="I884" s="36">
        <v>12.0</v>
      </c>
      <c r="J884" s="14" t="s">
        <v>1735</v>
      </c>
      <c r="K884" s="14" t="s">
        <v>1735</v>
      </c>
      <c r="L884" s="129">
        <v>3.5E7</v>
      </c>
      <c r="M884" s="14" t="s">
        <v>1735</v>
      </c>
      <c r="N884" s="8"/>
    </row>
    <row r="885" ht="15.75" customHeight="1">
      <c r="A885" s="126" t="s">
        <v>1755</v>
      </c>
      <c r="B885" s="127">
        <v>45839.0</v>
      </c>
      <c r="C885" s="127">
        <v>46934.0</v>
      </c>
      <c r="D885" s="73" t="s">
        <v>1729</v>
      </c>
      <c r="E885" s="58" t="s">
        <v>1608</v>
      </c>
      <c r="F885" s="58" t="s">
        <v>1756</v>
      </c>
      <c r="G885" s="58" t="s">
        <v>1757</v>
      </c>
      <c r="H885" s="36">
        <v>5.0</v>
      </c>
      <c r="I885" s="36">
        <v>5.0</v>
      </c>
      <c r="J885" s="14" t="s">
        <v>1731</v>
      </c>
      <c r="K885" s="14" t="s">
        <v>1735</v>
      </c>
      <c r="L885" s="128">
        <v>0.0</v>
      </c>
      <c r="M885" s="14" t="s">
        <v>1735</v>
      </c>
      <c r="N885" s="8"/>
    </row>
    <row r="886" ht="15.75" customHeight="1">
      <c r="A886" s="126" t="s">
        <v>1758</v>
      </c>
      <c r="B886" s="127">
        <v>45839.0</v>
      </c>
      <c r="C886" s="127">
        <v>46934.0</v>
      </c>
      <c r="D886" s="73" t="s">
        <v>1729</v>
      </c>
      <c r="E886" s="58" t="s">
        <v>1608</v>
      </c>
      <c r="F886" s="58" t="s">
        <v>1759</v>
      </c>
      <c r="G886" s="58" t="s">
        <v>1760</v>
      </c>
      <c r="H886" s="36">
        <v>6.0</v>
      </c>
      <c r="I886" s="36">
        <v>6.0</v>
      </c>
      <c r="J886" s="14" t="s">
        <v>1731</v>
      </c>
      <c r="K886" s="14" t="s">
        <v>1735</v>
      </c>
      <c r="L886" s="128">
        <v>0.0</v>
      </c>
      <c r="M886" s="14" t="s">
        <v>1735</v>
      </c>
      <c r="N886" s="8"/>
    </row>
    <row r="887">
      <c r="A887" s="139" t="s">
        <v>1761</v>
      </c>
      <c r="B887" s="140">
        <v>45839.0</v>
      </c>
      <c r="C887" s="141">
        <v>46934.0</v>
      </c>
      <c r="D887" s="73" t="s">
        <v>1729</v>
      </c>
      <c r="E887" s="58" t="s">
        <v>1608</v>
      </c>
      <c r="F887" s="142" t="s">
        <v>1762</v>
      </c>
      <c r="G887" s="63" t="s">
        <v>1763</v>
      </c>
      <c r="H887" s="45"/>
      <c r="I887" s="45"/>
      <c r="J887" s="45"/>
      <c r="K887" s="45"/>
      <c r="L887" s="130"/>
      <c r="M887" s="45"/>
      <c r="N887" s="8"/>
    </row>
    <row r="888" ht="15.75" customHeight="1">
      <c r="A888" s="135" t="s">
        <v>1764</v>
      </c>
      <c r="B888" s="143">
        <v>45839.0</v>
      </c>
      <c r="C888" s="143">
        <v>46934.0</v>
      </c>
      <c r="D888" s="73" t="s">
        <v>1729</v>
      </c>
      <c r="E888" s="58" t="s">
        <v>1608</v>
      </c>
      <c r="F888" s="63" t="s">
        <v>1765</v>
      </c>
      <c r="G888" s="63" t="s">
        <v>1750</v>
      </c>
      <c r="H888" s="144">
        <v>5.0</v>
      </c>
      <c r="I888" s="144">
        <v>5.0</v>
      </c>
      <c r="J888" s="63" t="s">
        <v>1731</v>
      </c>
      <c r="K888" s="63" t="s">
        <v>1731</v>
      </c>
      <c r="L888" s="145">
        <v>2.5E9</v>
      </c>
      <c r="M888" s="14" t="s">
        <v>1731</v>
      </c>
      <c r="N888" s="8"/>
    </row>
    <row r="889" ht="15.75" customHeight="1">
      <c r="A889" s="131" t="s">
        <v>1766</v>
      </c>
      <c r="B889" s="127">
        <v>45809.0</v>
      </c>
      <c r="C889" s="127">
        <v>46173.0</v>
      </c>
      <c r="D889" s="73" t="s">
        <v>1729</v>
      </c>
      <c r="E889" s="58" t="s">
        <v>1608</v>
      </c>
      <c r="F889" s="146" t="s">
        <v>1767</v>
      </c>
      <c r="G889" s="58" t="s">
        <v>1750</v>
      </c>
      <c r="H889" s="36">
        <v>5.0</v>
      </c>
      <c r="I889" s="36">
        <v>5.0</v>
      </c>
      <c r="J889" s="58" t="s">
        <v>1735</v>
      </c>
      <c r="K889" s="58" t="s">
        <v>1735</v>
      </c>
      <c r="L889" s="129">
        <v>935.356</v>
      </c>
      <c r="M889" s="14" t="s">
        <v>1731</v>
      </c>
      <c r="N889" s="8"/>
    </row>
    <row r="890" ht="15.75" customHeight="1">
      <c r="A890" s="131" t="s">
        <v>1768</v>
      </c>
      <c r="B890" s="127">
        <v>45809.0</v>
      </c>
      <c r="C890" s="127">
        <v>46203.0</v>
      </c>
      <c r="D890" s="73" t="s">
        <v>1729</v>
      </c>
      <c r="E890" s="58" t="s">
        <v>1608</v>
      </c>
      <c r="F890" s="138" t="s">
        <v>1769</v>
      </c>
      <c r="G890" s="58" t="s">
        <v>1757</v>
      </c>
      <c r="H890" s="36">
        <v>8.0</v>
      </c>
      <c r="I890" s="36">
        <v>8.0</v>
      </c>
      <c r="J890" s="14" t="s">
        <v>1735</v>
      </c>
      <c r="K890" s="14" t="s">
        <v>1735</v>
      </c>
      <c r="L890" s="133">
        <v>240000.0</v>
      </c>
      <c r="M890" s="14" t="s">
        <v>1735</v>
      </c>
      <c r="N890" s="8"/>
    </row>
    <row r="891" ht="15.75" customHeight="1">
      <c r="A891" s="126" t="s">
        <v>1770</v>
      </c>
      <c r="B891" s="127">
        <v>45809.0</v>
      </c>
      <c r="C891" s="127">
        <v>46173.0</v>
      </c>
      <c r="D891" s="73" t="s">
        <v>1729</v>
      </c>
      <c r="E891" s="58" t="s">
        <v>1608</v>
      </c>
      <c r="F891" s="132" t="s">
        <v>1771</v>
      </c>
      <c r="G891" s="58" t="s">
        <v>1757</v>
      </c>
      <c r="H891" s="36">
        <v>5.0</v>
      </c>
      <c r="I891" s="36">
        <v>5.0</v>
      </c>
      <c r="J891" s="14" t="s">
        <v>1735</v>
      </c>
      <c r="K891" s="14" t="s">
        <v>1735</v>
      </c>
      <c r="L891" s="128">
        <v>280000.0</v>
      </c>
      <c r="M891" s="14" t="s">
        <v>1735</v>
      </c>
      <c r="N891" s="8"/>
    </row>
    <row r="892" ht="15.75" customHeight="1">
      <c r="A892" s="131" t="s">
        <v>1772</v>
      </c>
      <c r="B892" s="127">
        <v>45808.0</v>
      </c>
      <c r="C892" s="127">
        <v>46173.0</v>
      </c>
      <c r="D892" s="73" t="s">
        <v>1729</v>
      </c>
      <c r="E892" s="58" t="s">
        <v>1608</v>
      </c>
      <c r="F892" s="132" t="s">
        <v>1773</v>
      </c>
      <c r="G892" s="58" t="s">
        <v>1757</v>
      </c>
      <c r="H892" s="36">
        <v>5.0</v>
      </c>
      <c r="I892" s="36">
        <v>5.0</v>
      </c>
      <c r="J892" s="14" t="s">
        <v>1731</v>
      </c>
      <c r="K892" s="14" t="s">
        <v>1731</v>
      </c>
      <c r="L892" s="129">
        <v>5.8023586E7</v>
      </c>
      <c r="M892" s="14" t="s">
        <v>1735</v>
      </c>
      <c r="N892" s="8"/>
    </row>
    <row r="893" ht="15.75" customHeight="1">
      <c r="A893" s="126" t="s">
        <v>1774</v>
      </c>
      <c r="B893" s="127">
        <v>45797.0</v>
      </c>
      <c r="C893" s="127">
        <v>46893.0</v>
      </c>
      <c r="D893" s="73" t="s">
        <v>1729</v>
      </c>
      <c r="E893" s="58" t="s">
        <v>1608</v>
      </c>
      <c r="F893" s="146" t="s">
        <v>1775</v>
      </c>
      <c r="G893" s="58" t="s">
        <v>1750</v>
      </c>
      <c r="H893" s="36">
        <v>30.0</v>
      </c>
      <c r="I893" s="36">
        <v>30.0</v>
      </c>
      <c r="J893" s="14" t="s">
        <v>1731</v>
      </c>
      <c r="K893" s="14" t="s">
        <v>1735</v>
      </c>
      <c r="L893" s="133">
        <v>3000000.0</v>
      </c>
      <c r="M893" s="14" t="s">
        <v>1731</v>
      </c>
      <c r="N893" s="8"/>
    </row>
    <row r="894" ht="15.75" customHeight="1">
      <c r="A894" s="126" t="s">
        <v>1776</v>
      </c>
      <c r="B894" s="127">
        <v>45778.0</v>
      </c>
      <c r="C894" s="127">
        <v>46874.0</v>
      </c>
      <c r="D894" s="73" t="s">
        <v>1729</v>
      </c>
      <c r="E894" s="58" t="s">
        <v>1608</v>
      </c>
      <c r="F894" s="146" t="s">
        <v>1777</v>
      </c>
      <c r="G894" s="58" t="s">
        <v>1750</v>
      </c>
      <c r="H894" s="147">
        <v>13.0</v>
      </c>
      <c r="I894" s="147">
        <v>13.0</v>
      </c>
      <c r="J894" s="14" t="s">
        <v>1735</v>
      </c>
      <c r="K894" s="14" t="s">
        <v>1735</v>
      </c>
      <c r="L894" s="148">
        <v>3.5</v>
      </c>
      <c r="M894" s="14" t="s">
        <v>1731</v>
      </c>
      <c r="N894" s="8"/>
    </row>
    <row r="895" ht="15.75" customHeight="1">
      <c r="A895" s="134" t="s">
        <v>1778</v>
      </c>
      <c r="B895" s="73">
        <v>45778.0</v>
      </c>
      <c r="C895" s="73">
        <v>46874.0</v>
      </c>
      <c r="D895" s="73" t="s">
        <v>1729</v>
      </c>
      <c r="E895" s="58" t="s">
        <v>1608</v>
      </c>
      <c r="F895" s="58" t="s">
        <v>1779</v>
      </c>
      <c r="G895" s="58" t="s">
        <v>1780</v>
      </c>
      <c r="H895" s="36">
        <v>12.0</v>
      </c>
      <c r="I895" s="36">
        <v>12.0</v>
      </c>
      <c r="J895" s="14" t="s">
        <v>1731</v>
      </c>
      <c r="K895" s="14" t="s">
        <v>1731</v>
      </c>
      <c r="L895" s="149">
        <v>1153140.0</v>
      </c>
      <c r="M895" s="14" t="s">
        <v>1735</v>
      </c>
      <c r="N895" s="8"/>
    </row>
    <row r="896" ht="15.75" customHeight="1">
      <c r="A896" s="134" t="s">
        <v>1781</v>
      </c>
      <c r="B896" s="73">
        <v>45778.0</v>
      </c>
      <c r="C896" s="73">
        <v>46508.0</v>
      </c>
      <c r="D896" s="73" t="s">
        <v>1729</v>
      </c>
      <c r="E896" s="58" t="s">
        <v>1608</v>
      </c>
      <c r="F896" s="58" t="s">
        <v>1782</v>
      </c>
      <c r="G896" s="58" t="s">
        <v>1780</v>
      </c>
      <c r="H896" s="45"/>
      <c r="I896" s="45"/>
      <c r="J896" s="45"/>
      <c r="K896" s="45"/>
      <c r="L896" s="130"/>
      <c r="M896" s="45"/>
      <c r="N896" s="8"/>
    </row>
    <row r="897" ht="15.75" customHeight="1">
      <c r="A897" s="126" t="s">
        <v>1783</v>
      </c>
      <c r="B897" s="127">
        <v>45778.0</v>
      </c>
      <c r="C897" s="127">
        <v>46874.0</v>
      </c>
      <c r="D897" s="73" t="s">
        <v>1729</v>
      </c>
      <c r="E897" s="58" t="s">
        <v>1608</v>
      </c>
      <c r="F897" s="58" t="s">
        <v>1784</v>
      </c>
      <c r="G897" s="58" t="s">
        <v>1785</v>
      </c>
      <c r="H897" s="45"/>
      <c r="I897" s="45"/>
      <c r="J897" s="45"/>
      <c r="K897" s="45"/>
      <c r="L897" s="130"/>
      <c r="M897" s="45"/>
      <c r="N897" s="8"/>
    </row>
    <row r="898" ht="15.75" customHeight="1">
      <c r="A898" s="134" t="s">
        <v>1786</v>
      </c>
      <c r="B898" s="73">
        <v>45778.0</v>
      </c>
      <c r="C898" s="73">
        <v>46874.0</v>
      </c>
      <c r="D898" s="73" t="s">
        <v>1729</v>
      </c>
      <c r="E898" s="58" t="s">
        <v>1608</v>
      </c>
      <c r="F898" s="58" t="s">
        <v>1787</v>
      </c>
      <c r="G898" s="58" t="s">
        <v>1788</v>
      </c>
      <c r="H898" s="45"/>
      <c r="I898" s="45"/>
      <c r="J898" s="45"/>
      <c r="K898" s="45"/>
      <c r="L898" s="130"/>
      <c r="M898" s="45"/>
      <c r="N898" s="8"/>
    </row>
    <row r="899" ht="15.75" customHeight="1">
      <c r="A899" s="134" t="s">
        <v>1789</v>
      </c>
      <c r="B899" s="127">
        <v>45778.0</v>
      </c>
      <c r="C899" s="127">
        <v>46143.0</v>
      </c>
      <c r="D899" s="73" t="s">
        <v>1729</v>
      </c>
      <c r="E899" s="58" t="s">
        <v>1608</v>
      </c>
      <c r="F899" s="146" t="s">
        <v>1790</v>
      </c>
      <c r="G899" s="58" t="s">
        <v>1750</v>
      </c>
      <c r="H899" s="150">
        <v>2.0</v>
      </c>
      <c r="I899" s="150">
        <v>2.0</v>
      </c>
      <c r="J899" s="58" t="s">
        <v>1735</v>
      </c>
      <c r="K899" s="58" t="s">
        <v>1735</v>
      </c>
      <c r="L899" s="151">
        <v>0.0</v>
      </c>
      <c r="M899" s="58" t="s">
        <v>1735</v>
      </c>
      <c r="N899" s="8"/>
    </row>
    <row r="900" ht="15.75" customHeight="1">
      <c r="A900" s="126" t="s">
        <v>1791</v>
      </c>
      <c r="B900" s="127">
        <v>45778.0</v>
      </c>
      <c r="C900" s="127">
        <v>46142.0</v>
      </c>
      <c r="D900" s="73" t="s">
        <v>1729</v>
      </c>
      <c r="E900" s="58" t="s">
        <v>1608</v>
      </c>
      <c r="F900" s="146" t="s">
        <v>1792</v>
      </c>
      <c r="G900" s="58" t="s">
        <v>1793</v>
      </c>
      <c r="H900" s="58">
        <v>5.0</v>
      </c>
      <c r="I900" s="58">
        <v>5.0</v>
      </c>
      <c r="J900" s="58" t="s">
        <v>1731</v>
      </c>
      <c r="K900" s="58" t="s">
        <v>1731</v>
      </c>
      <c r="L900" s="152">
        <v>1.9E7</v>
      </c>
      <c r="M900" s="58" t="s">
        <v>1731</v>
      </c>
      <c r="N900" s="8"/>
    </row>
    <row r="901" ht="15.75" customHeight="1">
      <c r="A901" s="126" t="s">
        <v>1794</v>
      </c>
      <c r="B901" s="127">
        <v>45778.0</v>
      </c>
      <c r="C901" s="127">
        <v>46874.0</v>
      </c>
      <c r="D901" s="73" t="s">
        <v>1729</v>
      </c>
      <c r="E901" s="58" t="s">
        <v>1608</v>
      </c>
      <c r="F901" s="142" t="s">
        <v>1795</v>
      </c>
      <c r="G901" s="58" t="s">
        <v>1750</v>
      </c>
      <c r="H901" s="36">
        <v>5.0</v>
      </c>
      <c r="I901" s="36">
        <v>5.0</v>
      </c>
      <c r="J901" s="14" t="s">
        <v>1735</v>
      </c>
      <c r="K901" s="14" t="s">
        <v>1731</v>
      </c>
      <c r="L901" s="128">
        <v>0.0</v>
      </c>
      <c r="M901" s="14" t="s">
        <v>1731</v>
      </c>
      <c r="N901" s="8"/>
    </row>
    <row r="902" ht="15.75" customHeight="1">
      <c r="A902" s="134" t="s">
        <v>1796</v>
      </c>
      <c r="B902" s="73">
        <v>45778.0</v>
      </c>
      <c r="C902" s="73">
        <v>46873.0</v>
      </c>
      <c r="D902" s="73" t="s">
        <v>1729</v>
      </c>
      <c r="E902" s="58" t="s">
        <v>1608</v>
      </c>
      <c r="F902" s="146" t="s">
        <v>1797</v>
      </c>
      <c r="G902" s="58" t="s">
        <v>1798</v>
      </c>
      <c r="H902" s="58">
        <v>70.0</v>
      </c>
      <c r="I902" s="58">
        <v>70.0</v>
      </c>
      <c r="J902" s="58" t="s">
        <v>1731</v>
      </c>
      <c r="K902" s="58" t="s">
        <v>1731</v>
      </c>
      <c r="L902" s="152">
        <v>6500000.0</v>
      </c>
      <c r="M902" s="58" t="s">
        <v>1735</v>
      </c>
      <c r="N902" s="8"/>
    </row>
    <row r="903" ht="15.75" customHeight="1">
      <c r="A903" s="126" t="s">
        <v>1799</v>
      </c>
      <c r="B903" s="73">
        <v>45778.0</v>
      </c>
      <c r="C903" s="127">
        <v>46873.0</v>
      </c>
      <c r="D903" s="73" t="s">
        <v>1729</v>
      </c>
      <c r="E903" s="58" t="s">
        <v>1608</v>
      </c>
      <c r="F903" s="142" t="s">
        <v>1800</v>
      </c>
      <c r="G903" s="58" t="s">
        <v>1801</v>
      </c>
      <c r="H903" s="36">
        <v>6.0</v>
      </c>
      <c r="I903" s="36">
        <v>6.0</v>
      </c>
      <c r="J903" s="58" t="s">
        <v>1735</v>
      </c>
      <c r="K903" s="58" t="s">
        <v>1735</v>
      </c>
      <c r="L903" s="129">
        <v>800000.0</v>
      </c>
      <c r="M903" s="58" t="s">
        <v>1735</v>
      </c>
      <c r="N903" s="8"/>
    </row>
    <row r="904" ht="15.75" customHeight="1">
      <c r="A904" s="126" t="s">
        <v>1802</v>
      </c>
      <c r="B904" s="73">
        <v>45748.0</v>
      </c>
      <c r="C904" s="73">
        <v>46478.0</v>
      </c>
      <c r="D904" s="73" t="s">
        <v>1729</v>
      </c>
      <c r="E904" s="58" t="s">
        <v>1608</v>
      </c>
      <c r="F904" s="58" t="s">
        <v>1803</v>
      </c>
      <c r="G904" s="58" t="s">
        <v>1804</v>
      </c>
      <c r="H904" s="144">
        <v>12.0</v>
      </c>
      <c r="I904" s="144">
        <v>12.0</v>
      </c>
      <c r="J904" s="14" t="s">
        <v>1731</v>
      </c>
      <c r="K904" s="14" t="s">
        <v>1731</v>
      </c>
      <c r="L904" s="128">
        <v>9.0E7</v>
      </c>
      <c r="M904" s="45"/>
      <c r="N904" s="8"/>
    </row>
    <row r="905" ht="15.75" customHeight="1">
      <c r="A905" s="137" t="s">
        <v>1805</v>
      </c>
      <c r="B905" s="73">
        <v>45748.0</v>
      </c>
      <c r="C905" s="73">
        <v>46844.0</v>
      </c>
      <c r="D905" s="73" t="s">
        <v>1729</v>
      </c>
      <c r="E905" s="58" t="s">
        <v>1608</v>
      </c>
      <c r="F905" s="58" t="s">
        <v>1806</v>
      </c>
      <c r="G905" s="58" t="s">
        <v>1807</v>
      </c>
      <c r="H905" s="58">
        <v>9.0</v>
      </c>
      <c r="I905" s="58">
        <v>9.0</v>
      </c>
      <c r="J905" s="58" t="s">
        <v>1735</v>
      </c>
      <c r="K905" s="58" t="s">
        <v>1735</v>
      </c>
      <c r="L905" s="152">
        <v>0.0</v>
      </c>
      <c r="M905" s="58" t="s">
        <v>1731</v>
      </c>
      <c r="N905" s="8"/>
    </row>
    <row r="906" ht="15.75" customHeight="1">
      <c r="A906" s="126" t="s">
        <v>1808</v>
      </c>
      <c r="B906" s="127">
        <v>45717.0</v>
      </c>
      <c r="C906" s="127">
        <v>46447.0</v>
      </c>
      <c r="D906" s="73" t="s">
        <v>1729</v>
      </c>
      <c r="E906" s="58" t="s">
        <v>1608</v>
      </c>
      <c r="F906" s="132" t="s">
        <v>1809</v>
      </c>
      <c r="G906" s="58" t="s">
        <v>1750</v>
      </c>
      <c r="H906" s="147">
        <v>7.0</v>
      </c>
      <c r="I906" s="147">
        <v>7.0</v>
      </c>
      <c r="J906" s="14" t="s">
        <v>1731</v>
      </c>
      <c r="K906" s="14" t="s">
        <v>1731</v>
      </c>
      <c r="L906" s="153">
        <v>5.0E8</v>
      </c>
      <c r="M906" s="58" t="s">
        <v>1731</v>
      </c>
      <c r="N906" s="8"/>
    </row>
    <row r="907" ht="15.75" customHeight="1">
      <c r="A907" s="134" t="s">
        <v>1810</v>
      </c>
      <c r="B907" s="73">
        <v>45717.0</v>
      </c>
      <c r="C907" s="127">
        <v>46813.0</v>
      </c>
      <c r="D907" s="73" t="s">
        <v>1729</v>
      </c>
      <c r="E907" s="58" t="s">
        <v>1608</v>
      </c>
      <c r="F907" s="132" t="s">
        <v>1811</v>
      </c>
      <c r="G907" s="58" t="s">
        <v>1744</v>
      </c>
      <c r="H907" s="58">
        <v>6.0</v>
      </c>
      <c r="I907" s="58">
        <v>6.0</v>
      </c>
      <c r="J907" s="58" t="s">
        <v>1735</v>
      </c>
      <c r="K907" s="58" t="s">
        <v>1735</v>
      </c>
      <c r="L907" s="152">
        <v>0.0</v>
      </c>
      <c r="M907" s="58" t="s">
        <v>1731</v>
      </c>
      <c r="N907" s="8"/>
    </row>
    <row r="908" ht="15.75" customHeight="1">
      <c r="A908" s="126" t="s">
        <v>1812</v>
      </c>
      <c r="B908" s="154">
        <v>45717.0</v>
      </c>
      <c r="C908" s="154">
        <v>46811.0</v>
      </c>
      <c r="D908" s="73" t="s">
        <v>1729</v>
      </c>
      <c r="E908" s="58" t="s">
        <v>1608</v>
      </c>
      <c r="F908" s="63" t="s">
        <v>1813</v>
      </c>
      <c r="G908" s="58" t="s">
        <v>1785</v>
      </c>
      <c r="H908" s="58">
        <v>53.0</v>
      </c>
      <c r="I908" s="58">
        <v>53.0</v>
      </c>
      <c r="J908" s="58" t="s">
        <v>1735</v>
      </c>
      <c r="K908" s="58" t="s">
        <v>1735</v>
      </c>
      <c r="L908" s="152">
        <v>9600000.0</v>
      </c>
      <c r="M908" s="58" t="s">
        <v>1731</v>
      </c>
      <c r="N908" s="8"/>
    </row>
    <row r="909" ht="15.75" customHeight="1">
      <c r="A909" s="134" t="s">
        <v>1814</v>
      </c>
      <c r="B909" s="73">
        <v>45689.0</v>
      </c>
      <c r="C909" s="73">
        <v>46419.0</v>
      </c>
      <c r="D909" s="73" t="s">
        <v>1729</v>
      </c>
      <c r="E909" s="58" t="s">
        <v>1608</v>
      </c>
      <c r="F909" s="146" t="s">
        <v>1815</v>
      </c>
      <c r="G909" s="58" t="s">
        <v>1750</v>
      </c>
      <c r="H909" s="36">
        <v>3.0</v>
      </c>
      <c r="I909" s="36">
        <v>3.0</v>
      </c>
      <c r="J909" s="14" t="s">
        <v>1731</v>
      </c>
      <c r="K909" s="14" t="s">
        <v>1735</v>
      </c>
      <c r="L909" s="128">
        <v>130.0</v>
      </c>
      <c r="M909" s="58" t="s">
        <v>1731</v>
      </c>
      <c r="N909" s="8"/>
    </row>
    <row r="910" ht="15.75" customHeight="1">
      <c r="A910" s="155" t="s">
        <v>1816</v>
      </c>
      <c r="B910" s="73">
        <v>45689.0</v>
      </c>
      <c r="C910" s="127">
        <v>46784.0</v>
      </c>
      <c r="D910" s="73" t="s">
        <v>1729</v>
      </c>
      <c r="E910" s="58" t="s">
        <v>1608</v>
      </c>
      <c r="F910" s="132" t="s">
        <v>1817</v>
      </c>
      <c r="G910" s="58" t="s">
        <v>1818</v>
      </c>
      <c r="H910" s="45"/>
      <c r="I910" s="45"/>
      <c r="J910" s="45"/>
      <c r="K910" s="45"/>
      <c r="L910" s="130"/>
      <c r="M910" s="45"/>
      <c r="N910" s="8"/>
    </row>
    <row r="911" ht="15.75" customHeight="1">
      <c r="A911" s="135" t="s">
        <v>1819</v>
      </c>
      <c r="B911" s="154">
        <v>45641.0</v>
      </c>
      <c r="C911" s="154">
        <v>46736.0</v>
      </c>
      <c r="D911" s="73" t="s">
        <v>1729</v>
      </c>
      <c r="E911" s="58" t="s">
        <v>1608</v>
      </c>
      <c r="F911" s="63" t="s">
        <v>1820</v>
      </c>
      <c r="G911" s="156" t="s">
        <v>1750</v>
      </c>
      <c r="H911" s="63">
        <v>10.0</v>
      </c>
      <c r="I911" s="63">
        <v>10.0</v>
      </c>
      <c r="J911" s="63" t="s">
        <v>1735</v>
      </c>
      <c r="K911" s="63" t="s">
        <v>1735</v>
      </c>
      <c r="L911" s="157">
        <v>4800000.0</v>
      </c>
      <c r="M911" s="63" t="s">
        <v>1731</v>
      </c>
      <c r="N911" s="8"/>
    </row>
    <row r="912" ht="15.75" customHeight="1">
      <c r="A912" s="158" t="s">
        <v>1821</v>
      </c>
      <c r="B912" s="143">
        <v>45627.0</v>
      </c>
      <c r="C912" s="143">
        <v>47452.0</v>
      </c>
      <c r="D912" s="73" t="s">
        <v>1729</v>
      </c>
      <c r="E912" s="58" t="s">
        <v>1608</v>
      </c>
      <c r="F912" s="63" t="s">
        <v>1822</v>
      </c>
      <c r="G912" s="58" t="s">
        <v>1750</v>
      </c>
      <c r="H912" s="147">
        <v>2.0</v>
      </c>
      <c r="I912" s="147">
        <v>2.0</v>
      </c>
      <c r="J912" s="63" t="s">
        <v>1731</v>
      </c>
      <c r="K912" s="63" t="s">
        <v>1731</v>
      </c>
      <c r="L912" s="157">
        <v>0.0</v>
      </c>
      <c r="M912" s="63" t="s">
        <v>1731</v>
      </c>
      <c r="N912" s="8"/>
    </row>
    <row r="913" ht="15.75" customHeight="1">
      <c r="A913" s="135" t="s">
        <v>1823</v>
      </c>
      <c r="B913" s="73">
        <v>45597.0</v>
      </c>
      <c r="C913" s="143">
        <v>46692.0</v>
      </c>
      <c r="D913" s="73" t="s">
        <v>1729</v>
      </c>
      <c r="E913" s="58" t="s">
        <v>1608</v>
      </c>
      <c r="F913" s="63" t="s">
        <v>1824</v>
      </c>
      <c r="G913" s="63" t="s">
        <v>1825</v>
      </c>
      <c r="H913" s="144">
        <v>6.0</v>
      </c>
      <c r="I913" s="144">
        <v>6.0</v>
      </c>
      <c r="J913" s="63" t="s">
        <v>1731</v>
      </c>
      <c r="K913" s="63" t="s">
        <v>1731</v>
      </c>
      <c r="L913" s="145">
        <v>4000000.0</v>
      </c>
      <c r="M913" s="63" t="s">
        <v>1731</v>
      </c>
      <c r="N913" s="8"/>
    </row>
    <row r="914" ht="15.75" customHeight="1">
      <c r="A914" s="135" t="s">
        <v>1826</v>
      </c>
      <c r="B914" s="73">
        <v>45566.0</v>
      </c>
      <c r="C914" s="73">
        <v>46661.0</v>
      </c>
      <c r="D914" s="73" t="s">
        <v>1729</v>
      </c>
      <c r="E914" s="58" t="s">
        <v>1608</v>
      </c>
      <c r="F914" s="63" t="s">
        <v>1827</v>
      </c>
      <c r="G914" s="63" t="s">
        <v>1828</v>
      </c>
      <c r="H914" s="63">
        <v>52.0</v>
      </c>
      <c r="I914" s="63">
        <v>52.0</v>
      </c>
      <c r="J914" s="63" t="s">
        <v>1731</v>
      </c>
      <c r="K914" s="63" t="s">
        <v>1735</v>
      </c>
      <c r="L914" s="157">
        <v>7798244.0</v>
      </c>
      <c r="M914" s="63" t="s">
        <v>1735</v>
      </c>
      <c r="N914" s="8"/>
    </row>
    <row r="915" ht="15.75" customHeight="1">
      <c r="A915" s="135" t="s">
        <v>1829</v>
      </c>
      <c r="B915" s="73">
        <v>45566.0</v>
      </c>
      <c r="C915" s="73">
        <v>46661.0</v>
      </c>
      <c r="D915" s="73" t="s">
        <v>1729</v>
      </c>
      <c r="E915" s="58" t="s">
        <v>1608</v>
      </c>
      <c r="F915" s="63" t="s">
        <v>1830</v>
      </c>
      <c r="G915" s="63" t="s">
        <v>1831</v>
      </c>
      <c r="H915" s="159">
        <v>6.0</v>
      </c>
      <c r="I915" s="159">
        <v>6.0</v>
      </c>
      <c r="J915" s="63" t="s">
        <v>1735</v>
      </c>
      <c r="K915" s="63" t="s">
        <v>1735</v>
      </c>
      <c r="L915" s="153">
        <v>1.5E7</v>
      </c>
      <c r="M915" s="63" t="s">
        <v>1731</v>
      </c>
      <c r="N915" s="8"/>
    </row>
    <row r="916" ht="15.75" customHeight="1">
      <c r="A916" s="135" t="s">
        <v>1832</v>
      </c>
      <c r="B916" s="73">
        <v>45566.0</v>
      </c>
      <c r="C916" s="73">
        <v>47392.0</v>
      </c>
      <c r="D916" s="73" t="s">
        <v>1729</v>
      </c>
      <c r="E916" s="58" t="s">
        <v>1608</v>
      </c>
      <c r="F916" s="63" t="s">
        <v>1833</v>
      </c>
      <c r="G916" s="63" t="s">
        <v>1757</v>
      </c>
      <c r="H916" s="144">
        <v>2.0</v>
      </c>
      <c r="I916" s="144">
        <v>2.0</v>
      </c>
      <c r="J916" s="63" t="s">
        <v>1731</v>
      </c>
      <c r="K916" s="63" t="s">
        <v>1735</v>
      </c>
      <c r="L916" s="145">
        <v>69.793</v>
      </c>
      <c r="M916" s="63" t="s">
        <v>1735</v>
      </c>
      <c r="N916" s="8"/>
    </row>
    <row r="917" ht="15.75" customHeight="1">
      <c r="A917" s="135" t="s">
        <v>1834</v>
      </c>
      <c r="B917" s="143">
        <v>45597.0</v>
      </c>
      <c r="C917" s="143">
        <v>46508.0</v>
      </c>
      <c r="D917" s="73" t="s">
        <v>1729</v>
      </c>
      <c r="E917" s="58" t="s">
        <v>1608</v>
      </c>
      <c r="F917" s="63" t="s">
        <v>1835</v>
      </c>
      <c r="G917" s="63" t="s">
        <v>1750</v>
      </c>
      <c r="H917" s="147">
        <v>15.0</v>
      </c>
      <c r="I917" s="147">
        <v>15.0</v>
      </c>
      <c r="J917" s="63" t="s">
        <v>1731</v>
      </c>
      <c r="K917" s="63" t="s">
        <v>1735</v>
      </c>
      <c r="L917" s="148">
        <v>8.79290449E8</v>
      </c>
      <c r="M917" s="63" t="s">
        <v>1731</v>
      </c>
      <c r="N917" s="8"/>
    </row>
    <row r="918" ht="15.75" customHeight="1">
      <c r="A918" s="134" t="s">
        <v>1836</v>
      </c>
      <c r="B918" s="73">
        <v>45566.0</v>
      </c>
      <c r="C918" s="73">
        <v>46295.0</v>
      </c>
      <c r="D918" s="73" t="s">
        <v>1729</v>
      </c>
      <c r="E918" s="58" t="s">
        <v>1608</v>
      </c>
      <c r="F918" s="63" t="s">
        <v>1837</v>
      </c>
      <c r="G918" s="63" t="s">
        <v>1750</v>
      </c>
      <c r="H918" s="63">
        <v>3.0</v>
      </c>
      <c r="I918" s="63">
        <v>3.0</v>
      </c>
      <c r="J918" s="63" t="s">
        <v>1735</v>
      </c>
      <c r="K918" s="63" t="s">
        <v>1735</v>
      </c>
      <c r="L918" s="157">
        <v>280000.0</v>
      </c>
      <c r="M918" s="63" t="s">
        <v>1731</v>
      </c>
      <c r="N918" s="8"/>
    </row>
    <row r="919" ht="15.75" customHeight="1">
      <c r="A919" s="135" t="s">
        <v>1802</v>
      </c>
      <c r="B919" s="73">
        <v>45536.0</v>
      </c>
      <c r="C919" s="73">
        <v>46266.0</v>
      </c>
      <c r="D919" s="73" t="s">
        <v>1729</v>
      </c>
      <c r="E919" s="58" t="s">
        <v>1608</v>
      </c>
      <c r="F919" s="63" t="s">
        <v>1838</v>
      </c>
      <c r="G919" s="63" t="s">
        <v>1804</v>
      </c>
      <c r="H919" s="144">
        <v>12.0</v>
      </c>
      <c r="I919" s="144">
        <v>12.0</v>
      </c>
      <c r="J919" s="63" t="s">
        <v>1731</v>
      </c>
      <c r="K919" s="63" t="s">
        <v>1731</v>
      </c>
      <c r="L919" s="145">
        <v>9.0E7</v>
      </c>
      <c r="M919" s="63" t="s">
        <v>1731</v>
      </c>
      <c r="N919" s="8"/>
    </row>
    <row r="920" ht="15.75" customHeight="1">
      <c r="A920" s="131" t="s">
        <v>778</v>
      </c>
      <c r="B920" s="154">
        <v>45534.0</v>
      </c>
      <c r="C920" s="154">
        <v>46265.0</v>
      </c>
      <c r="D920" s="73" t="s">
        <v>1729</v>
      </c>
      <c r="E920" s="63" t="s">
        <v>1839</v>
      </c>
      <c r="F920" s="63" t="s">
        <v>1840</v>
      </c>
      <c r="G920" s="101" t="s">
        <v>1734</v>
      </c>
      <c r="H920" s="36">
        <v>2.0</v>
      </c>
      <c r="I920" s="36">
        <v>2.0</v>
      </c>
      <c r="J920" s="14" t="s">
        <v>1731</v>
      </c>
      <c r="K920" s="14" t="s">
        <v>1731</v>
      </c>
      <c r="L920" s="128">
        <v>0.0</v>
      </c>
      <c r="M920" s="63" t="s">
        <v>1731</v>
      </c>
      <c r="N920" s="8"/>
    </row>
    <row r="921" ht="15.75" customHeight="1">
      <c r="A921" s="134" t="s">
        <v>1841</v>
      </c>
      <c r="B921" s="154">
        <v>45505.0</v>
      </c>
      <c r="C921" s="127">
        <v>47604.0</v>
      </c>
      <c r="D921" s="73" t="s">
        <v>1729</v>
      </c>
      <c r="E921" s="58" t="s">
        <v>1608</v>
      </c>
      <c r="F921" s="138" t="s">
        <v>1842</v>
      </c>
      <c r="G921" s="58" t="s">
        <v>1843</v>
      </c>
      <c r="H921" s="58">
        <v>9.0</v>
      </c>
      <c r="I921" s="58">
        <v>9.0</v>
      </c>
      <c r="J921" s="58" t="s">
        <v>1735</v>
      </c>
      <c r="K921" s="58" t="s">
        <v>1735</v>
      </c>
      <c r="L921" s="152">
        <v>5.87758518E8</v>
      </c>
      <c r="M921" s="58" t="s">
        <v>1731</v>
      </c>
      <c r="N921" s="8"/>
    </row>
    <row r="922" ht="15.75" customHeight="1">
      <c r="A922" s="135" t="s">
        <v>1844</v>
      </c>
      <c r="B922" s="143">
        <v>45505.0</v>
      </c>
      <c r="C922" s="73">
        <v>46599.0</v>
      </c>
      <c r="D922" s="73" t="s">
        <v>1729</v>
      </c>
      <c r="E922" s="58" t="s">
        <v>1608</v>
      </c>
      <c r="F922" s="63" t="s">
        <v>1845</v>
      </c>
      <c r="G922" s="58" t="s">
        <v>1846</v>
      </c>
      <c r="H922" s="147">
        <v>8.0</v>
      </c>
      <c r="I922" s="147">
        <v>8.0</v>
      </c>
      <c r="J922" s="63" t="s">
        <v>1735</v>
      </c>
      <c r="K922" s="63" t="s">
        <v>1731</v>
      </c>
      <c r="L922" s="148">
        <v>6000000.0</v>
      </c>
      <c r="M922" s="63" t="s">
        <v>1731</v>
      </c>
      <c r="N922" s="8"/>
    </row>
    <row r="923" ht="15.75" customHeight="1">
      <c r="A923" s="135" t="s">
        <v>1847</v>
      </c>
      <c r="B923" s="73">
        <v>45505.0</v>
      </c>
      <c r="C923" s="73">
        <v>46235.0</v>
      </c>
      <c r="D923" s="73" t="s">
        <v>1729</v>
      </c>
      <c r="E923" s="58" t="s">
        <v>1608</v>
      </c>
      <c r="F923" s="63" t="s">
        <v>1848</v>
      </c>
      <c r="G923" s="58" t="s">
        <v>1849</v>
      </c>
      <c r="H923" s="144">
        <v>1.0</v>
      </c>
      <c r="I923" s="144">
        <v>1.0</v>
      </c>
      <c r="J923" s="63" t="s">
        <v>1731</v>
      </c>
      <c r="K923" s="63" t="s">
        <v>1731</v>
      </c>
      <c r="L923" s="145">
        <v>7500000.0</v>
      </c>
      <c r="M923" s="63" t="s">
        <v>1735</v>
      </c>
      <c r="N923" s="8"/>
    </row>
    <row r="924" ht="15.75" customHeight="1">
      <c r="A924" s="135" t="s">
        <v>1850</v>
      </c>
      <c r="B924" s="160">
        <v>45474.0</v>
      </c>
      <c r="C924" s="143">
        <v>46568.0</v>
      </c>
      <c r="D924" s="73" t="s">
        <v>1729</v>
      </c>
      <c r="E924" s="58" t="s">
        <v>1608</v>
      </c>
      <c r="F924" s="63" t="s">
        <v>1851</v>
      </c>
      <c r="G924" s="63" t="s">
        <v>1744</v>
      </c>
      <c r="H924" s="147">
        <v>1.0</v>
      </c>
      <c r="I924" s="147">
        <v>1.0</v>
      </c>
      <c r="J924" s="63" t="s">
        <v>1735</v>
      </c>
      <c r="K924" s="63" t="s">
        <v>1735</v>
      </c>
      <c r="L924" s="148">
        <v>2000000.0</v>
      </c>
      <c r="M924" s="63" t="s">
        <v>1731</v>
      </c>
      <c r="N924" s="8"/>
    </row>
    <row r="925" ht="15.75" customHeight="1">
      <c r="A925" s="135" t="s">
        <v>1852</v>
      </c>
      <c r="B925" s="143">
        <v>45474.0</v>
      </c>
      <c r="C925" s="143">
        <v>46568.0</v>
      </c>
      <c r="D925" s="73" t="s">
        <v>1729</v>
      </c>
      <c r="E925" s="58" t="s">
        <v>1608</v>
      </c>
      <c r="F925" s="63" t="s">
        <v>1853</v>
      </c>
      <c r="G925" s="63" t="s">
        <v>1854</v>
      </c>
      <c r="H925" s="58"/>
      <c r="I925" s="58"/>
      <c r="J925" s="58"/>
      <c r="K925" s="58"/>
      <c r="L925" s="152"/>
      <c r="M925" s="58"/>
      <c r="N925" s="8"/>
    </row>
    <row r="926" ht="15.75" customHeight="1">
      <c r="A926" s="135" t="s">
        <v>1855</v>
      </c>
      <c r="B926" s="160">
        <v>45444.0</v>
      </c>
      <c r="C926" s="143">
        <v>46539.0</v>
      </c>
      <c r="D926" s="73" t="s">
        <v>1729</v>
      </c>
      <c r="E926" s="58" t="s">
        <v>1608</v>
      </c>
      <c r="F926" s="63" t="s">
        <v>1856</v>
      </c>
      <c r="G926" s="63" t="s">
        <v>1744</v>
      </c>
      <c r="H926" s="63">
        <v>0.0</v>
      </c>
      <c r="I926" s="63">
        <v>0.0</v>
      </c>
      <c r="J926" s="63" t="s">
        <v>1731</v>
      </c>
      <c r="K926" s="63" t="s">
        <v>1735</v>
      </c>
      <c r="L926" s="145">
        <v>102.76059</v>
      </c>
      <c r="M926" s="63" t="s">
        <v>1731</v>
      </c>
      <c r="N926" s="8"/>
    </row>
    <row r="927" ht="15.75" customHeight="1">
      <c r="A927" s="158" t="s">
        <v>1857</v>
      </c>
      <c r="B927" s="143">
        <v>45444.0</v>
      </c>
      <c r="C927" s="73">
        <v>46539.0</v>
      </c>
      <c r="D927" s="73" t="s">
        <v>1729</v>
      </c>
      <c r="E927" s="58" t="s">
        <v>1608</v>
      </c>
      <c r="F927" s="63" t="s">
        <v>1858</v>
      </c>
      <c r="G927" s="63" t="s">
        <v>1859</v>
      </c>
      <c r="H927" s="147">
        <v>2.0</v>
      </c>
      <c r="I927" s="147">
        <v>2.0</v>
      </c>
      <c r="J927" s="63" t="s">
        <v>1735</v>
      </c>
      <c r="K927" s="63" t="s">
        <v>1735</v>
      </c>
      <c r="L927" s="148">
        <v>81000.0</v>
      </c>
      <c r="M927" s="161" t="s">
        <v>1735</v>
      </c>
      <c r="N927" s="8"/>
    </row>
    <row r="928" ht="15.75" customHeight="1">
      <c r="A928" s="135" t="s">
        <v>1860</v>
      </c>
      <c r="B928" s="143">
        <v>45444.0</v>
      </c>
      <c r="C928" s="73">
        <v>46539.0</v>
      </c>
      <c r="D928" s="73" t="s">
        <v>1729</v>
      </c>
      <c r="E928" s="58" t="s">
        <v>1608</v>
      </c>
      <c r="F928" s="63" t="s">
        <v>1861</v>
      </c>
      <c r="G928" s="63" t="s">
        <v>1750</v>
      </c>
      <c r="H928" s="147">
        <v>6.0</v>
      </c>
      <c r="I928" s="147">
        <v>6.0</v>
      </c>
      <c r="J928" s="63" t="s">
        <v>1731</v>
      </c>
      <c r="K928" s="63" t="s">
        <v>1731</v>
      </c>
      <c r="L928" s="148">
        <v>455.1585</v>
      </c>
      <c r="M928" s="63" t="s">
        <v>1731</v>
      </c>
      <c r="N928" s="8"/>
    </row>
    <row r="929" ht="15.75" customHeight="1">
      <c r="A929" s="135" t="s">
        <v>1862</v>
      </c>
      <c r="B929" s="143">
        <v>45444.0</v>
      </c>
      <c r="C929" s="143">
        <v>46539.0</v>
      </c>
      <c r="D929" s="73" t="s">
        <v>1729</v>
      </c>
      <c r="E929" s="58" t="s">
        <v>1608</v>
      </c>
      <c r="F929" s="63" t="s">
        <v>1863</v>
      </c>
      <c r="G929" s="63" t="s">
        <v>1750</v>
      </c>
      <c r="H929" s="63">
        <v>6.0</v>
      </c>
      <c r="I929" s="63">
        <v>6.0</v>
      </c>
      <c r="J929" s="63" t="s">
        <v>1731</v>
      </c>
      <c r="K929" s="63" t="s">
        <v>1735</v>
      </c>
      <c r="L929" s="133">
        <v>1.12420967E8</v>
      </c>
      <c r="M929" s="63" t="s">
        <v>1731</v>
      </c>
      <c r="N929" s="8"/>
    </row>
    <row r="930" ht="15.75" customHeight="1">
      <c r="A930" s="135" t="s">
        <v>1864</v>
      </c>
      <c r="B930" s="143">
        <v>45444.0</v>
      </c>
      <c r="C930" s="143">
        <v>46539.0</v>
      </c>
      <c r="D930" s="73" t="s">
        <v>1729</v>
      </c>
      <c r="E930" s="58" t="s">
        <v>1608</v>
      </c>
      <c r="F930" s="162" t="s">
        <v>1865</v>
      </c>
      <c r="G930" s="58" t="s">
        <v>1866</v>
      </c>
      <c r="H930" s="63">
        <v>10.0</v>
      </c>
      <c r="I930" s="63">
        <v>10.0</v>
      </c>
      <c r="J930" s="63" t="s">
        <v>1731</v>
      </c>
      <c r="K930" s="63" t="s">
        <v>1735</v>
      </c>
      <c r="L930" s="133">
        <v>3.91016367E8</v>
      </c>
      <c r="M930" s="63" t="s">
        <v>1735</v>
      </c>
      <c r="N930" s="8"/>
    </row>
    <row r="931" ht="15.75" customHeight="1">
      <c r="A931" s="135" t="s">
        <v>1867</v>
      </c>
      <c r="B931" s="143">
        <v>45444.0</v>
      </c>
      <c r="C931" s="143">
        <v>46539.0</v>
      </c>
      <c r="D931" s="73" t="s">
        <v>1729</v>
      </c>
      <c r="E931" s="58" t="s">
        <v>1608</v>
      </c>
      <c r="F931" s="162" t="s">
        <v>1868</v>
      </c>
      <c r="G931" s="58" t="s">
        <v>1869</v>
      </c>
      <c r="H931" s="63">
        <v>3.0</v>
      </c>
      <c r="I931" s="63">
        <v>3.0</v>
      </c>
      <c r="J931" s="63" t="s">
        <v>1735</v>
      </c>
      <c r="K931" s="63" t="s">
        <v>1731</v>
      </c>
      <c r="L931" s="157">
        <v>0.0</v>
      </c>
      <c r="M931" s="63" t="s">
        <v>1735</v>
      </c>
      <c r="N931" s="8"/>
    </row>
    <row r="932" ht="15.75" customHeight="1">
      <c r="A932" s="135" t="s">
        <v>1870</v>
      </c>
      <c r="B932" s="143">
        <v>45444.0</v>
      </c>
      <c r="C932" s="143">
        <v>46539.0</v>
      </c>
      <c r="D932" s="73" t="s">
        <v>1729</v>
      </c>
      <c r="E932" s="58" t="s">
        <v>1608</v>
      </c>
      <c r="F932" s="162" t="s">
        <v>1871</v>
      </c>
      <c r="G932" s="58" t="s">
        <v>1750</v>
      </c>
      <c r="H932" s="147">
        <v>15.0</v>
      </c>
      <c r="I932" s="147">
        <v>15.0</v>
      </c>
      <c r="J932" s="63" t="s">
        <v>1731</v>
      </c>
      <c r="K932" s="63" t="s">
        <v>1735</v>
      </c>
      <c r="L932" s="148">
        <v>8.79290449E8</v>
      </c>
      <c r="M932" s="63" t="s">
        <v>1731</v>
      </c>
      <c r="N932" s="8"/>
    </row>
    <row r="933" ht="15.75" customHeight="1">
      <c r="A933" s="158" t="s">
        <v>1872</v>
      </c>
      <c r="B933" s="73">
        <v>45444.0</v>
      </c>
      <c r="C933" s="73">
        <v>46174.0</v>
      </c>
      <c r="D933" s="73" t="s">
        <v>1729</v>
      </c>
      <c r="E933" s="58" t="s">
        <v>1608</v>
      </c>
      <c r="F933" s="63" t="s">
        <v>1873</v>
      </c>
      <c r="G933" s="58" t="s">
        <v>1750</v>
      </c>
      <c r="H933" s="144">
        <v>5.0</v>
      </c>
      <c r="I933" s="144">
        <v>5.0</v>
      </c>
      <c r="J933" s="63" t="s">
        <v>1731</v>
      </c>
      <c r="K933" s="63" t="s">
        <v>1731</v>
      </c>
      <c r="L933" s="145">
        <v>800000.0</v>
      </c>
      <c r="M933" s="63" t="s">
        <v>1731</v>
      </c>
      <c r="N933" s="8"/>
    </row>
    <row r="934" ht="15.75" customHeight="1">
      <c r="A934" s="131" t="s">
        <v>1158</v>
      </c>
      <c r="B934" s="154">
        <v>45427.0</v>
      </c>
      <c r="C934" s="154">
        <v>46157.0</v>
      </c>
      <c r="D934" s="73" t="s">
        <v>1729</v>
      </c>
      <c r="E934" s="63" t="s">
        <v>1839</v>
      </c>
      <c r="F934" s="63" t="s">
        <v>1840</v>
      </c>
      <c r="G934" s="63" t="s">
        <v>1372</v>
      </c>
      <c r="H934" s="36">
        <v>10.0</v>
      </c>
      <c r="I934" s="36">
        <v>10.0</v>
      </c>
      <c r="J934" s="63" t="s">
        <v>1735</v>
      </c>
      <c r="K934" s="63" t="s">
        <v>1731</v>
      </c>
      <c r="L934" s="133">
        <v>70000.0</v>
      </c>
      <c r="M934" s="63" t="s">
        <v>1731</v>
      </c>
      <c r="N934" s="8"/>
    </row>
    <row r="935" ht="15.75" customHeight="1">
      <c r="A935" s="158" t="s">
        <v>1874</v>
      </c>
      <c r="B935" s="143">
        <v>45413.0</v>
      </c>
      <c r="C935" s="143">
        <v>47239.0</v>
      </c>
      <c r="D935" s="73" t="s">
        <v>1729</v>
      </c>
      <c r="E935" s="58" t="s">
        <v>1608</v>
      </c>
      <c r="F935" s="63" t="s">
        <v>1875</v>
      </c>
      <c r="G935" s="63" t="s">
        <v>1757</v>
      </c>
      <c r="H935" s="63">
        <v>2.0</v>
      </c>
      <c r="I935" s="63">
        <v>2.0</v>
      </c>
      <c r="J935" s="63" t="s">
        <v>1735</v>
      </c>
      <c r="K935" s="63" t="s">
        <v>1731</v>
      </c>
      <c r="L935" s="157">
        <v>400.0</v>
      </c>
      <c r="M935" s="63" t="s">
        <v>1735</v>
      </c>
      <c r="N935" s="8"/>
    </row>
    <row r="936" ht="15.75" customHeight="1">
      <c r="A936" s="158" t="s">
        <v>1876</v>
      </c>
      <c r="B936" s="143">
        <v>45427.0</v>
      </c>
      <c r="C936" s="143">
        <v>46522.0</v>
      </c>
      <c r="D936" s="73" t="s">
        <v>1729</v>
      </c>
      <c r="E936" s="58" t="s">
        <v>1608</v>
      </c>
      <c r="F936" s="162" t="s">
        <v>1877</v>
      </c>
      <c r="G936" s="58" t="s">
        <v>1757</v>
      </c>
      <c r="H936" s="144">
        <v>10.0</v>
      </c>
      <c r="I936" s="144">
        <v>10.0</v>
      </c>
      <c r="J936" s="63" t="s">
        <v>1735</v>
      </c>
      <c r="K936" s="63" t="s">
        <v>1735</v>
      </c>
      <c r="L936" s="145">
        <v>820000.0</v>
      </c>
      <c r="M936" s="63" t="s">
        <v>1735</v>
      </c>
      <c r="N936" s="8"/>
    </row>
    <row r="937" ht="15.75" customHeight="1">
      <c r="A937" s="134" t="s">
        <v>1878</v>
      </c>
      <c r="B937" s="143">
        <v>45401.0</v>
      </c>
      <c r="C937" s="73">
        <v>46131.0</v>
      </c>
      <c r="D937" s="73" t="s">
        <v>1729</v>
      </c>
      <c r="E937" s="58" t="s">
        <v>1608</v>
      </c>
      <c r="F937" s="63" t="s">
        <v>1879</v>
      </c>
      <c r="G937" s="63" t="s">
        <v>1880</v>
      </c>
      <c r="H937" s="147">
        <v>29.0</v>
      </c>
      <c r="I937" s="147">
        <v>29.0</v>
      </c>
      <c r="J937" s="63" t="s">
        <v>1731</v>
      </c>
      <c r="K937" s="63" t="s">
        <v>1731</v>
      </c>
      <c r="L937" s="148">
        <v>3.426E9</v>
      </c>
      <c r="M937" s="63" t="s">
        <v>1735</v>
      </c>
      <c r="N937" s="8"/>
    </row>
    <row r="938" ht="15.75" customHeight="1">
      <c r="A938" s="135" t="s">
        <v>1881</v>
      </c>
      <c r="B938" s="143">
        <v>45383.0</v>
      </c>
      <c r="C938" s="143">
        <v>46478.0</v>
      </c>
      <c r="D938" s="73" t="s">
        <v>1729</v>
      </c>
      <c r="E938" s="58" t="s">
        <v>1608</v>
      </c>
      <c r="F938" s="163" t="s">
        <v>1882</v>
      </c>
      <c r="G938" s="164" t="s">
        <v>1750</v>
      </c>
      <c r="H938" s="63">
        <v>8.0</v>
      </c>
      <c r="I938" s="63">
        <v>8.0</v>
      </c>
      <c r="J938" s="63" t="s">
        <v>1731</v>
      </c>
      <c r="K938" s="63" t="s">
        <v>1735</v>
      </c>
      <c r="L938" s="133">
        <v>1.342025788E7</v>
      </c>
      <c r="M938" s="63" t="s">
        <v>1731</v>
      </c>
      <c r="N938" s="8"/>
    </row>
    <row r="939" ht="15.75" customHeight="1">
      <c r="A939" s="135" t="s">
        <v>1883</v>
      </c>
      <c r="B939" s="143">
        <v>45383.0</v>
      </c>
      <c r="C939" s="143">
        <v>46478.0</v>
      </c>
      <c r="D939" s="73" t="s">
        <v>1729</v>
      </c>
      <c r="E939" s="58" t="s">
        <v>1608</v>
      </c>
      <c r="F939" s="163" t="s">
        <v>1884</v>
      </c>
      <c r="G939" s="164" t="s">
        <v>1750</v>
      </c>
      <c r="H939" s="147">
        <v>5.0</v>
      </c>
      <c r="I939" s="147">
        <v>5.0</v>
      </c>
      <c r="J939" s="63" t="s">
        <v>1731</v>
      </c>
      <c r="K939" s="63" t="s">
        <v>1731</v>
      </c>
      <c r="L939" s="145">
        <v>2.5E9</v>
      </c>
      <c r="M939" s="63" t="s">
        <v>1731</v>
      </c>
      <c r="N939" s="8"/>
    </row>
    <row r="940" ht="15.75" customHeight="1">
      <c r="A940" s="135" t="s">
        <v>1885</v>
      </c>
      <c r="B940" s="143">
        <v>45383.0</v>
      </c>
      <c r="C940" s="143">
        <v>46843.0</v>
      </c>
      <c r="D940" s="73" t="s">
        <v>1729</v>
      </c>
      <c r="E940" s="58" t="s">
        <v>1608</v>
      </c>
      <c r="F940" s="162" t="s">
        <v>1886</v>
      </c>
      <c r="G940" s="58" t="s">
        <v>1750</v>
      </c>
      <c r="H940" s="58"/>
      <c r="I940" s="58"/>
      <c r="K940" s="58"/>
      <c r="L940" s="152"/>
      <c r="M940" s="58"/>
      <c r="N940" s="8"/>
    </row>
    <row r="941" ht="15.75" customHeight="1">
      <c r="A941" s="135" t="s">
        <v>1887</v>
      </c>
      <c r="B941" s="143">
        <v>45261.0</v>
      </c>
      <c r="C941" s="143">
        <v>46356.0</v>
      </c>
      <c r="D941" s="73" t="s">
        <v>1729</v>
      </c>
      <c r="E941" s="58" t="s">
        <v>1608</v>
      </c>
      <c r="F941" s="163" t="s">
        <v>1888</v>
      </c>
      <c r="G941" s="164" t="s">
        <v>1798</v>
      </c>
      <c r="H941" s="58"/>
      <c r="I941" s="58"/>
      <c r="J941" s="58"/>
      <c r="K941" s="58"/>
      <c r="L941" s="152"/>
      <c r="M941" s="58"/>
      <c r="N941" s="8"/>
    </row>
    <row r="942" ht="15.75" customHeight="1">
      <c r="A942" s="135" t="s">
        <v>1889</v>
      </c>
      <c r="B942" s="143">
        <v>44835.0</v>
      </c>
      <c r="C942" s="143">
        <v>47026.0</v>
      </c>
      <c r="D942" s="73" t="s">
        <v>1729</v>
      </c>
      <c r="E942" s="58" t="s">
        <v>1608</v>
      </c>
      <c r="F942" s="163" t="s">
        <v>1890</v>
      </c>
      <c r="G942" s="164" t="s">
        <v>1750</v>
      </c>
      <c r="H942" s="58"/>
      <c r="I942" s="58"/>
      <c r="J942" s="58"/>
      <c r="K942" s="58"/>
      <c r="L942" s="152"/>
      <c r="M942" s="58"/>
      <c r="N942" s="8"/>
    </row>
    <row r="943" ht="15.75" customHeight="1">
      <c r="A943" s="135" t="s">
        <v>309</v>
      </c>
      <c r="B943" s="143">
        <v>44958.0</v>
      </c>
      <c r="C943" s="143">
        <v>46054.0</v>
      </c>
      <c r="D943" s="73" t="s">
        <v>1729</v>
      </c>
      <c r="E943" s="58" t="s">
        <v>1608</v>
      </c>
      <c r="F943" s="163" t="s">
        <v>1891</v>
      </c>
      <c r="G943" s="164" t="s">
        <v>1892</v>
      </c>
      <c r="H943" s="63">
        <v>8.0</v>
      </c>
      <c r="I943" s="63">
        <v>8.0</v>
      </c>
      <c r="J943" s="63" t="s">
        <v>1735</v>
      </c>
      <c r="K943" s="63" t="s">
        <v>1735</v>
      </c>
      <c r="L943" s="157">
        <v>0.0</v>
      </c>
      <c r="M943" s="63" t="s">
        <v>1735</v>
      </c>
      <c r="N943" s="8"/>
    </row>
    <row r="944" ht="15.75" customHeight="1">
      <c r="A944" s="135" t="s">
        <v>1893</v>
      </c>
      <c r="B944" s="160">
        <v>44957.0</v>
      </c>
      <c r="C944" s="143">
        <v>46053.0</v>
      </c>
      <c r="D944" s="73" t="s">
        <v>1729</v>
      </c>
      <c r="E944" s="58" t="s">
        <v>1608</v>
      </c>
      <c r="F944" s="163" t="s">
        <v>1894</v>
      </c>
      <c r="G944" s="164" t="s">
        <v>1744</v>
      </c>
      <c r="H944" s="63">
        <v>2.0</v>
      </c>
      <c r="I944" s="63">
        <v>2.0</v>
      </c>
      <c r="J944" s="63" t="s">
        <v>1731</v>
      </c>
      <c r="K944" s="63" t="s">
        <v>1731</v>
      </c>
      <c r="L944" s="157">
        <v>1.7E7</v>
      </c>
      <c r="M944" s="63" t="s">
        <v>1731</v>
      </c>
      <c r="N944" s="8"/>
    </row>
    <row r="945" ht="15.75" customHeight="1">
      <c r="A945" s="158" t="s">
        <v>1895</v>
      </c>
      <c r="B945" s="73">
        <v>45200.0</v>
      </c>
      <c r="C945" s="73">
        <v>45931.0</v>
      </c>
      <c r="D945" s="73" t="s">
        <v>1729</v>
      </c>
      <c r="E945" s="58" t="s">
        <v>1608</v>
      </c>
      <c r="F945" s="165" t="s">
        <v>1896</v>
      </c>
      <c r="G945" s="164" t="s">
        <v>1750</v>
      </c>
      <c r="H945" s="63">
        <v>2.0</v>
      </c>
      <c r="I945" s="63">
        <v>2.0</v>
      </c>
      <c r="J945" s="63" t="s">
        <v>1731</v>
      </c>
      <c r="K945" s="63" t="s">
        <v>1735</v>
      </c>
      <c r="L945" s="157">
        <v>2.327938236E7</v>
      </c>
      <c r="M945" s="63" t="s">
        <v>1731</v>
      </c>
      <c r="N945" s="8"/>
    </row>
    <row r="946" ht="15.75" customHeight="1">
      <c r="A946" s="135" t="s">
        <v>1897</v>
      </c>
      <c r="B946" s="143">
        <v>44682.0</v>
      </c>
      <c r="C946" s="143">
        <v>46173.0</v>
      </c>
      <c r="D946" s="73" t="s">
        <v>1729</v>
      </c>
      <c r="E946" s="58" t="s">
        <v>1608</v>
      </c>
      <c r="F946" s="63" t="s">
        <v>1898</v>
      </c>
      <c r="G946" s="63" t="s">
        <v>1757</v>
      </c>
      <c r="H946" s="144">
        <v>2.0</v>
      </c>
      <c r="I946" s="144">
        <v>2.0</v>
      </c>
      <c r="J946" s="63" t="s">
        <v>1731</v>
      </c>
      <c r="K946" s="63" t="s">
        <v>1735</v>
      </c>
      <c r="L946" s="133">
        <v>1.12420967E8</v>
      </c>
      <c r="M946" s="63" t="s">
        <v>1735</v>
      </c>
      <c r="N946" s="8"/>
    </row>
    <row r="947" ht="15.75" customHeight="1">
      <c r="A947" s="135" t="s">
        <v>1899</v>
      </c>
      <c r="B947" s="143">
        <v>44562.0</v>
      </c>
      <c r="C947" s="143">
        <v>46753.0</v>
      </c>
      <c r="D947" s="73" t="s">
        <v>1729</v>
      </c>
      <c r="E947" s="58" t="s">
        <v>1608</v>
      </c>
      <c r="F947" s="162" t="s">
        <v>1900</v>
      </c>
      <c r="G947" s="58" t="s">
        <v>1744</v>
      </c>
      <c r="H947" s="63">
        <v>5.0</v>
      </c>
      <c r="I947" s="63">
        <v>5.0</v>
      </c>
      <c r="J947" s="63" t="s">
        <v>1731</v>
      </c>
      <c r="K947" s="63" t="s">
        <v>1735</v>
      </c>
      <c r="L947" s="133">
        <v>9.0E7</v>
      </c>
      <c r="M947" s="63" t="s">
        <v>1731</v>
      </c>
      <c r="N947" s="8"/>
    </row>
    <row r="948" ht="15.75" customHeight="1">
      <c r="A948" s="135" t="s">
        <v>1901</v>
      </c>
      <c r="B948" s="143">
        <v>44440.0</v>
      </c>
      <c r="C948" s="143">
        <v>46266.0</v>
      </c>
      <c r="D948" s="73" t="s">
        <v>1729</v>
      </c>
      <c r="E948" s="58" t="s">
        <v>1608</v>
      </c>
      <c r="F948" s="162" t="s">
        <v>1902</v>
      </c>
      <c r="G948" s="58" t="s">
        <v>1750</v>
      </c>
      <c r="H948" s="144">
        <v>8.0</v>
      </c>
      <c r="I948" s="144">
        <v>8.0</v>
      </c>
      <c r="J948" s="63" t="s">
        <v>1731</v>
      </c>
      <c r="K948" s="63" t="s">
        <v>1731</v>
      </c>
      <c r="L948" s="145">
        <v>500000.0</v>
      </c>
      <c r="M948" s="63" t="s">
        <v>1735</v>
      </c>
      <c r="N948" s="8"/>
    </row>
    <row r="949" ht="15.75" customHeight="1">
      <c r="A949" s="135" t="s">
        <v>1903</v>
      </c>
      <c r="B949" s="143">
        <v>44348.0</v>
      </c>
      <c r="C949" s="143">
        <v>46173.0</v>
      </c>
      <c r="D949" s="73" t="s">
        <v>1729</v>
      </c>
      <c r="E949" s="58" t="s">
        <v>1608</v>
      </c>
      <c r="F949" s="162" t="s">
        <v>1904</v>
      </c>
      <c r="G949" s="58" t="s">
        <v>1750</v>
      </c>
      <c r="H949" s="147">
        <v>5.0</v>
      </c>
      <c r="I949" s="147">
        <v>5.0</v>
      </c>
      <c r="J949" s="63" t="s">
        <v>1731</v>
      </c>
      <c r="K949" s="63" t="s">
        <v>1735</v>
      </c>
      <c r="L949" s="157">
        <v>0.0</v>
      </c>
      <c r="M949" s="63" t="s">
        <v>1735</v>
      </c>
      <c r="N949" s="8"/>
    </row>
    <row r="950" ht="15.75" customHeight="1">
      <c r="A950" s="135" t="s">
        <v>401</v>
      </c>
      <c r="B950" s="143">
        <v>44317.0</v>
      </c>
      <c r="C950" s="143">
        <v>46143.0</v>
      </c>
      <c r="D950" s="73" t="s">
        <v>1729</v>
      </c>
      <c r="E950" s="58" t="s">
        <v>1608</v>
      </c>
      <c r="F950" s="162" t="s">
        <v>1905</v>
      </c>
      <c r="G950" s="58" t="s">
        <v>1750</v>
      </c>
      <c r="H950" s="144">
        <v>433.0</v>
      </c>
      <c r="I950" s="144">
        <v>433.0</v>
      </c>
      <c r="J950" s="63" t="s">
        <v>1731</v>
      </c>
      <c r="K950" s="63" t="s">
        <v>1731</v>
      </c>
      <c r="L950" s="133">
        <v>9.4753420964E10</v>
      </c>
      <c r="M950" s="63" t="s">
        <v>1906</v>
      </c>
      <c r="N950" s="8"/>
    </row>
    <row r="951" ht="15.75" customHeight="1">
      <c r="A951" s="158" t="s">
        <v>1114</v>
      </c>
      <c r="B951" s="136">
        <v>44197.0</v>
      </c>
      <c r="C951" s="136">
        <v>47848.0</v>
      </c>
      <c r="D951" s="73" t="s">
        <v>1729</v>
      </c>
      <c r="E951" s="58" t="s">
        <v>1608</v>
      </c>
      <c r="F951" s="162" t="s">
        <v>1907</v>
      </c>
      <c r="G951" s="58" t="s">
        <v>1750</v>
      </c>
      <c r="H951" s="144">
        <v>27.0</v>
      </c>
      <c r="I951" s="144">
        <v>27.0</v>
      </c>
      <c r="J951" s="63" t="s">
        <v>1731</v>
      </c>
      <c r="K951" s="63" t="s">
        <v>1735</v>
      </c>
      <c r="L951" s="133">
        <v>0.0</v>
      </c>
      <c r="M951" s="63" t="s">
        <v>1731</v>
      </c>
      <c r="N951" s="8"/>
    </row>
    <row r="952" ht="15.75" customHeight="1">
      <c r="A952" s="158" t="s">
        <v>1908</v>
      </c>
      <c r="B952" s="136">
        <v>45486.0</v>
      </c>
      <c r="C952" s="136">
        <v>46216.0</v>
      </c>
      <c r="D952" s="73" t="s">
        <v>1729</v>
      </c>
      <c r="E952" s="58" t="s">
        <v>1608</v>
      </c>
      <c r="F952" s="162" t="s">
        <v>1909</v>
      </c>
      <c r="G952" s="58" t="s">
        <v>1750</v>
      </c>
      <c r="H952" s="144">
        <v>2.0</v>
      </c>
      <c r="I952" s="144">
        <v>2.0</v>
      </c>
      <c r="J952" s="63" t="s">
        <v>1731</v>
      </c>
      <c r="K952" s="63" t="s">
        <v>1731</v>
      </c>
      <c r="L952" s="133">
        <v>8.2586494394E8</v>
      </c>
      <c r="M952" s="63" t="s">
        <v>1910</v>
      </c>
      <c r="N952" s="8"/>
    </row>
    <row r="953" ht="15.75" customHeight="1">
      <c r="A953" s="166" t="s">
        <v>490</v>
      </c>
      <c r="B953" s="114"/>
      <c r="C953" s="114"/>
      <c r="D953" s="27"/>
      <c r="E953" s="27"/>
      <c r="F953" s="114"/>
      <c r="G953" s="114"/>
      <c r="H953" s="27"/>
      <c r="I953" s="27"/>
      <c r="J953" s="27"/>
      <c r="K953" s="27"/>
      <c r="L953" s="27"/>
      <c r="M953" s="27"/>
      <c r="N953" s="27"/>
    </row>
    <row r="954" ht="15.75" customHeight="1">
      <c r="A954" s="7" t="s">
        <v>1911</v>
      </c>
      <c r="B954" s="9">
        <f>COUNT(B956:B964)</f>
        <v>9</v>
      </c>
      <c r="C954" s="14"/>
      <c r="D954" s="14"/>
      <c r="E954" s="14"/>
      <c r="F954" s="14"/>
      <c r="G954" s="14"/>
      <c r="H954" s="14"/>
      <c r="I954" s="14"/>
      <c r="J954" s="14"/>
      <c r="K954" s="14"/>
      <c r="L954" s="14"/>
      <c r="M954" s="14"/>
      <c r="N954" s="8"/>
    </row>
    <row r="955" ht="15.75" customHeight="1">
      <c r="A955" s="49" t="s">
        <v>38</v>
      </c>
      <c r="B955" s="49" t="s">
        <v>1912</v>
      </c>
      <c r="C955" s="49" t="s">
        <v>1913</v>
      </c>
      <c r="D955" s="49" t="s">
        <v>1914</v>
      </c>
      <c r="E955" s="167"/>
      <c r="F955" s="50"/>
      <c r="G955" s="50"/>
      <c r="H955" s="50"/>
      <c r="I955" s="50"/>
      <c r="J955" s="50"/>
      <c r="K955" s="50"/>
      <c r="L955" s="50"/>
      <c r="M955" s="50"/>
      <c r="N955" s="50"/>
      <c r="O955" s="51"/>
      <c r="P955" s="51"/>
      <c r="Q955" s="51"/>
      <c r="AB955" s="51"/>
      <c r="AC955" s="51"/>
      <c r="AD955" s="51"/>
    </row>
    <row r="956" ht="15.75" customHeight="1">
      <c r="A956" s="45" t="s">
        <v>1915</v>
      </c>
      <c r="B956" s="9">
        <v>0.0</v>
      </c>
      <c r="C956" s="9">
        <v>0.0</v>
      </c>
      <c r="D956" s="9">
        <v>0.0</v>
      </c>
      <c r="E956" s="45"/>
      <c r="F956" s="45"/>
      <c r="G956" s="45"/>
      <c r="H956" s="45"/>
      <c r="I956" s="45"/>
      <c r="J956" s="45"/>
      <c r="K956" s="45"/>
      <c r="L956" s="45"/>
      <c r="M956" s="45"/>
      <c r="N956" s="8"/>
    </row>
    <row r="957" ht="15.75" customHeight="1">
      <c r="A957" s="45" t="s">
        <v>1916</v>
      </c>
      <c r="B957" s="14">
        <v>2.0</v>
      </c>
      <c r="C957" s="14">
        <v>2.0</v>
      </c>
      <c r="D957" s="9">
        <v>1.0</v>
      </c>
      <c r="E957" s="45"/>
      <c r="F957" s="45"/>
      <c r="G957" s="45"/>
      <c r="H957" s="45"/>
      <c r="I957" s="45"/>
      <c r="J957" s="45"/>
      <c r="K957" s="45"/>
      <c r="L957" s="45"/>
      <c r="M957" s="45"/>
      <c r="N957" s="8"/>
    </row>
    <row r="958" ht="15.75" customHeight="1">
      <c r="A958" s="45" t="s">
        <v>1917</v>
      </c>
      <c r="B958" s="9">
        <v>4.0</v>
      </c>
      <c r="C958" s="14">
        <v>0.0</v>
      </c>
      <c r="D958" s="9">
        <v>0.0</v>
      </c>
      <c r="E958" s="45"/>
      <c r="F958" s="45"/>
      <c r="G958" s="45"/>
      <c r="H958" s="45"/>
      <c r="I958" s="45"/>
      <c r="J958" s="45"/>
      <c r="K958" s="45"/>
      <c r="L958" s="45"/>
      <c r="M958" s="45"/>
      <c r="N958" s="8"/>
    </row>
    <row r="959" ht="15.75" customHeight="1">
      <c r="A959" s="45" t="s">
        <v>1918</v>
      </c>
      <c r="B959" s="14">
        <v>0.0</v>
      </c>
      <c r="C959" s="14">
        <v>0.0</v>
      </c>
      <c r="D959" s="14">
        <v>0.0</v>
      </c>
      <c r="E959" s="45"/>
      <c r="F959" s="45"/>
      <c r="G959" s="45"/>
      <c r="H959" s="45"/>
      <c r="I959" s="45"/>
      <c r="J959" s="45"/>
      <c r="K959" s="45"/>
      <c r="L959" s="45"/>
      <c r="M959" s="45"/>
      <c r="N959" s="8"/>
    </row>
    <row r="960" ht="15.75" customHeight="1">
      <c r="A960" s="36" t="s">
        <v>1919</v>
      </c>
      <c r="B960" s="14">
        <v>4.0</v>
      </c>
      <c r="C960" s="14">
        <v>0.0</v>
      </c>
      <c r="D960" s="14">
        <v>0.0</v>
      </c>
      <c r="E960" s="45"/>
      <c r="F960" s="45"/>
      <c r="G960" s="45"/>
      <c r="H960" s="45"/>
      <c r="I960" s="45"/>
      <c r="J960" s="45"/>
      <c r="K960" s="45"/>
      <c r="L960" s="45"/>
      <c r="M960" s="45"/>
      <c r="N960" s="8"/>
    </row>
    <row r="961" ht="15.75" customHeight="1">
      <c r="A961" s="45" t="s">
        <v>1920</v>
      </c>
      <c r="B961" s="9">
        <v>0.0</v>
      </c>
      <c r="C961" s="9">
        <v>0.0</v>
      </c>
      <c r="D961" s="9">
        <v>0.0</v>
      </c>
      <c r="E961" s="45"/>
      <c r="F961" s="45"/>
      <c r="G961" s="45"/>
      <c r="H961" s="45"/>
      <c r="I961" s="45"/>
      <c r="J961" s="45"/>
      <c r="K961" s="45"/>
      <c r="L961" s="45"/>
      <c r="M961" s="45"/>
      <c r="N961" s="8"/>
    </row>
    <row r="962" ht="15.75" customHeight="1">
      <c r="A962" s="36" t="s">
        <v>1921</v>
      </c>
      <c r="B962" s="14">
        <v>3.0</v>
      </c>
      <c r="C962" s="14">
        <v>42.0</v>
      </c>
      <c r="D962" s="14">
        <v>2.0</v>
      </c>
      <c r="E962" s="45"/>
      <c r="F962" s="45"/>
      <c r="G962" s="45"/>
      <c r="H962" s="45"/>
      <c r="I962" s="45"/>
      <c r="J962" s="45"/>
      <c r="K962" s="45"/>
      <c r="L962" s="45"/>
      <c r="M962" s="45"/>
      <c r="N962" s="8"/>
    </row>
    <row r="963" ht="15.75" customHeight="1">
      <c r="A963" s="45" t="s">
        <v>1922</v>
      </c>
      <c r="B963" s="9">
        <v>4.0</v>
      </c>
      <c r="C963" s="9">
        <v>41.0</v>
      </c>
      <c r="D963" s="9">
        <v>1.0</v>
      </c>
      <c r="E963" s="45"/>
      <c r="F963" s="45"/>
      <c r="G963" s="45"/>
      <c r="H963" s="45"/>
      <c r="I963" s="45"/>
      <c r="J963" s="45"/>
      <c r="K963" s="45"/>
      <c r="L963" s="45"/>
      <c r="M963" s="45"/>
      <c r="N963" s="8"/>
    </row>
    <row r="964" ht="15.75" customHeight="1">
      <c r="A964" s="45" t="s">
        <v>1923</v>
      </c>
      <c r="B964" s="9">
        <v>4.0</v>
      </c>
      <c r="C964" s="9">
        <v>35.0</v>
      </c>
      <c r="D964" s="9">
        <v>2.0</v>
      </c>
      <c r="E964" s="45"/>
      <c r="F964" s="45"/>
      <c r="G964" s="45"/>
      <c r="H964" s="45"/>
      <c r="I964" s="45"/>
      <c r="J964" s="45"/>
      <c r="K964" s="45"/>
      <c r="L964" s="45"/>
      <c r="M964" s="45"/>
      <c r="N964" s="8"/>
    </row>
    <row r="965" ht="15.75" customHeight="1">
      <c r="A965" s="6" t="s">
        <v>1924</v>
      </c>
      <c r="B965" s="7"/>
      <c r="C965" s="7"/>
      <c r="D965" s="7"/>
      <c r="E965" s="7"/>
      <c r="F965" s="7"/>
      <c r="G965" s="7"/>
      <c r="H965" s="7"/>
      <c r="I965" s="7"/>
      <c r="J965" s="7"/>
      <c r="K965" s="7"/>
      <c r="L965" s="7"/>
      <c r="M965" s="7"/>
      <c r="N965" s="7"/>
    </row>
    <row r="966" ht="15.75" customHeight="1">
      <c r="A966" s="7" t="s">
        <v>1925</v>
      </c>
      <c r="B966" s="18" t="s">
        <v>1926</v>
      </c>
      <c r="C966" s="7"/>
      <c r="D966" s="168"/>
      <c r="E966" s="7"/>
      <c r="F966" s="7"/>
      <c r="G966" s="7"/>
      <c r="H966" s="7"/>
      <c r="I966" s="7"/>
      <c r="J966" s="7"/>
      <c r="K966" s="7"/>
      <c r="L966" s="7"/>
      <c r="M966" s="7"/>
      <c r="N966" s="7"/>
    </row>
    <row r="967" ht="15.75" customHeight="1">
      <c r="A967" s="7" t="s">
        <v>1927</v>
      </c>
      <c r="B967" s="18" t="s">
        <v>1928</v>
      </c>
      <c r="C967" s="7"/>
      <c r="D967" s="168"/>
      <c r="E967" s="7"/>
      <c r="F967" s="7"/>
      <c r="G967" s="7"/>
      <c r="H967" s="7"/>
      <c r="I967" s="7"/>
      <c r="J967" s="7"/>
      <c r="K967" s="7"/>
      <c r="L967" s="7"/>
      <c r="M967" s="7"/>
      <c r="N967" s="7"/>
    </row>
    <row r="968" ht="15.75" customHeight="1">
      <c r="A968" s="7" t="s">
        <v>1929</v>
      </c>
      <c r="B968" s="7" t="s">
        <v>1687</v>
      </c>
      <c r="C968" s="7"/>
      <c r="D968" s="168"/>
      <c r="E968" s="7"/>
      <c r="F968" s="7"/>
      <c r="G968" s="7"/>
      <c r="H968" s="7"/>
      <c r="I968" s="7"/>
      <c r="J968" s="7"/>
      <c r="K968" s="7"/>
      <c r="L968" s="7"/>
      <c r="M968" s="7"/>
      <c r="N968" s="7"/>
    </row>
    <row r="969" ht="15.75" customHeight="1">
      <c r="A969" s="169"/>
    </row>
    <row r="970" ht="15.75" customHeight="1">
      <c r="A970" s="169"/>
    </row>
    <row r="971" ht="15.75" customHeight="1">
      <c r="A971" s="169"/>
    </row>
    <row r="972" ht="15.75" customHeight="1">
      <c r="A972" s="169"/>
    </row>
    <row r="973" ht="15.75" customHeight="1">
      <c r="A973" s="169"/>
    </row>
    <row r="974" ht="15.75" customHeight="1">
      <c r="A974" s="169"/>
      <c r="K974" s="170" t="s">
        <v>1930</v>
      </c>
    </row>
    <row r="975" ht="15.75" customHeight="1">
      <c r="A975" s="169"/>
    </row>
    <row r="976" ht="15.75" customHeight="1">
      <c r="A976" s="169"/>
    </row>
    <row r="977" ht="15.75" customHeight="1">
      <c r="A977" s="169"/>
    </row>
    <row r="978" ht="15.75" customHeight="1">
      <c r="A978" s="169"/>
    </row>
    <row r="979" ht="15.75" customHeight="1">
      <c r="A979" s="169"/>
    </row>
    <row r="980" ht="15.75" customHeight="1">
      <c r="A980" s="169"/>
    </row>
    <row r="981" ht="15.75" customHeight="1">
      <c r="A981" s="169"/>
    </row>
    <row r="982" ht="15.75" customHeight="1">
      <c r="A982" s="169"/>
    </row>
    <row r="983" ht="15.75" customHeight="1">
      <c r="A983" s="169"/>
    </row>
    <row r="984" ht="15.75" customHeight="1">
      <c r="A984" s="169"/>
    </row>
    <row r="985" ht="15.75" customHeight="1">
      <c r="A985" s="51"/>
    </row>
    <row r="986" ht="15.75" customHeight="1">
      <c r="A986" s="169"/>
    </row>
    <row r="987" ht="15.75" customHeight="1">
      <c r="A987" s="169"/>
    </row>
    <row r="988" ht="15.75" customHeight="1">
      <c r="A988" s="169"/>
    </row>
    <row r="989" ht="15.75" customHeight="1">
      <c r="A989" s="169"/>
    </row>
    <row r="990" ht="15.75" customHeight="1">
      <c r="A990" s="169"/>
    </row>
    <row r="991" ht="15.75" customHeight="1">
      <c r="A991" s="169"/>
    </row>
    <row r="992" ht="15.75" customHeight="1">
      <c r="A992" s="169"/>
    </row>
    <row r="993" ht="15.75" customHeight="1">
      <c r="A993" s="169"/>
    </row>
    <row r="994" ht="15.75" customHeight="1">
      <c r="A994" s="169"/>
    </row>
    <row r="995" ht="15.75" customHeight="1">
      <c r="A995" s="169"/>
    </row>
    <row r="996" ht="15.75" customHeight="1">
      <c r="A996" s="169"/>
    </row>
    <row r="997" ht="15.75" customHeight="1">
      <c r="A997" s="169"/>
    </row>
    <row r="998" ht="15.75" customHeight="1">
      <c r="A998" s="169"/>
    </row>
    <row r="999" ht="15.75" customHeight="1">
      <c r="A999" s="169"/>
    </row>
    <row r="1000" ht="15.75" customHeight="1">
      <c r="A1000" s="169"/>
    </row>
    <row r="1001" ht="15.75" customHeight="1">
      <c r="A1001" s="169"/>
    </row>
    <row r="1002" ht="15.75" customHeight="1">
      <c r="A1002" s="169"/>
    </row>
    <row r="1003" ht="15.75" customHeight="1">
      <c r="A1003" s="169"/>
    </row>
    <row r="1004" ht="15.75" customHeight="1">
      <c r="A1004" s="169"/>
    </row>
    <row r="1005" ht="15.75" customHeight="1">
      <c r="A1005" s="169"/>
    </row>
    <row r="1006" ht="15.75" customHeight="1">
      <c r="A1006" s="169"/>
    </row>
    <row r="1007" ht="15.75" customHeight="1">
      <c r="A1007" s="169"/>
    </row>
    <row r="1008" ht="15.75" customHeight="1">
      <c r="A1008" s="169"/>
    </row>
    <row r="1009" ht="15.75" customHeight="1">
      <c r="A1009" s="169"/>
    </row>
    <row r="1010" ht="15.75" customHeight="1">
      <c r="A1010" s="169"/>
    </row>
    <row r="1011" ht="15.75" customHeight="1">
      <c r="A1011" s="169"/>
    </row>
    <row r="1012" ht="15.75" customHeight="1">
      <c r="A1012" s="169"/>
    </row>
    <row r="1013" ht="15.75" customHeight="1">
      <c r="A1013" s="169"/>
    </row>
    <row r="1014" ht="15.75" customHeight="1">
      <c r="A1014" s="169"/>
    </row>
    <row r="1015" ht="15.75" customHeight="1">
      <c r="A1015" s="169"/>
    </row>
    <row r="1016" ht="15.75" customHeight="1">
      <c r="A1016" s="169"/>
    </row>
    <row r="1017" ht="15.75" customHeight="1">
      <c r="A1017" s="169"/>
    </row>
    <row r="1018" ht="15.75" customHeight="1">
      <c r="A1018" s="169"/>
    </row>
    <row r="1019" ht="15.75" customHeight="1">
      <c r="A1019" s="169"/>
    </row>
    <row r="1020" ht="15.75" customHeight="1">
      <c r="A1020" s="169"/>
    </row>
    <row r="1021" ht="15.75" customHeight="1">
      <c r="A1021" s="169"/>
    </row>
    <row r="1022" ht="15.75" customHeight="1">
      <c r="A1022" s="169"/>
    </row>
    <row r="1023" ht="15.75" customHeight="1">
      <c r="A1023" s="169"/>
    </row>
    <row r="1024" ht="15.75" customHeight="1">
      <c r="A1024" s="169"/>
    </row>
    <row r="1025" ht="15.75" customHeight="1">
      <c r="A1025" s="169"/>
    </row>
    <row r="1026" ht="15.75" customHeight="1">
      <c r="A1026" s="169"/>
    </row>
    <row r="1027" ht="15.75" customHeight="1">
      <c r="A1027" s="169"/>
    </row>
    <row r="1028" ht="15.75" customHeight="1">
      <c r="A1028" s="169"/>
    </row>
    <row r="1029" ht="15.75" customHeight="1">
      <c r="A1029" s="169"/>
    </row>
    <row r="1030" ht="15.75" customHeight="1">
      <c r="A1030" s="169"/>
    </row>
    <row r="1031" ht="15.75" customHeight="1">
      <c r="A1031" s="169"/>
    </row>
    <row r="1032" ht="15.75" customHeight="1">
      <c r="A1032" s="169"/>
    </row>
    <row r="1033" ht="15.75" customHeight="1">
      <c r="A1033" s="169"/>
    </row>
    <row r="1034" ht="15.75" customHeight="1">
      <c r="A1034" s="169"/>
    </row>
    <row r="1035" ht="15.75" customHeight="1">
      <c r="A1035" s="169"/>
    </row>
    <row r="1036" ht="15.75" customHeight="1">
      <c r="A1036" s="169"/>
    </row>
    <row r="1037" ht="15.75" customHeight="1">
      <c r="A1037" s="169"/>
    </row>
    <row r="1038" ht="15.75" customHeight="1">
      <c r="A1038" s="169"/>
    </row>
    <row r="1039" ht="15.75" customHeight="1">
      <c r="A1039" s="169"/>
    </row>
    <row r="1040" ht="15.75" customHeight="1">
      <c r="A1040" s="169"/>
    </row>
    <row r="1041" ht="15.75" customHeight="1">
      <c r="A1041" s="169"/>
    </row>
    <row r="1042" ht="15.75" customHeight="1">
      <c r="A1042" s="169"/>
    </row>
    <row r="1043" ht="15.75" customHeight="1">
      <c r="A1043" s="169"/>
    </row>
    <row r="1044" ht="15.75" customHeight="1">
      <c r="A1044" s="169"/>
    </row>
    <row r="1045" ht="15.75" customHeight="1">
      <c r="A1045" s="169"/>
    </row>
    <row r="1046" ht="15.75" customHeight="1">
      <c r="A1046" s="169"/>
    </row>
    <row r="1047" ht="15.75" customHeight="1">
      <c r="A1047" s="169"/>
    </row>
    <row r="1048" ht="15.75" customHeight="1">
      <c r="A1048" s="169"/>
    </row>
    <row r="1049" ht="15.75" customHeight="1">
      <c r="A1049" s="169"/>
    </row>
    <row r="1050" ht="15.75" customHeight="1">
      <c r="A1050" s="169"/>
    </row>
    <row r="1051" ht="15.75" customHeight="1">
      <c r="A1051" s="169"/>
    </row>
    <row r="1052" ht="15.75" customHeight="1">
      <c r="A1052" s="169"/>
    </row>
    <row r="1053" ht="15.75" customHeight="1">
      <c r="A1053" s="169"/>
    </row>
    <row r="1054" ht="15.75" customHeight="1">
      <c r="A1054" s="169"/>
    </row>
    <row r="1055" ht="15.75" customHeight="1">
      <c r="A1055" s="169"/>
    </row>
    <row r="1056" ht="15.75" customHeight="1">
      <c r="A1056" s="169"/>
    </row>
    <row r="1057" ht="15.75" customHeight="1">
      <c r="A1057" s="169"/>
    </row>
    <row r="1058" ht="15.75" customHeight="1">
      <c r="A1058" s="169"/>
    </row>
    <row r="1059" ht="15.75" customHeight="1">
      <c r="A1059" s="169"/>
    </row>
    <row r="1060" ht="15.75" customHeight="1">
      <c r="A1060" s="169"/>
    </row>
    <row r="1061" ht="15.75" customHeight="1">
      <c r="A1061" s="169"/>
    </row>
    <row r="1062" ht="15.75" customHeight="1">
      <c r="A1062" s="169"/>
    </row>
    <row r="1063" ht="15.75" customHeight="1">
      <c r="A1063" s="169"/>
    </row>
    <row r="1064" ht="15.75" customHeight="1">
      <c r="A1064" s="169"/>
    </row>
    <row r="1065" ht="15.75" customHeight="1">
      <c r="A1065" s="169"/>
    </row>
    <row r="1066" ht="15.75" customHeight="1">
      <c r="A1066" s="169"/>
    </row>
    <row r="1067" ht="15.75" customHeight="1">
      <c r="A1067" s="169"/>
    </row>
    <row r="1068" ht="15.75" customHeight="1">
      <c r="A1068" s="169"/>
    </row>
    <row r="1069" ht="15.75" customHeight="1">
      <c r="A1069" s="169"/>
    </row>
    <row r="1070" ht="15.75" customHeight="1">
      <c r="A1070" s="169"/>
    </row>
    <row r="1071" ht="15.75" customHeight="1">
      <c r="A1071" s="169"/>
    </row>
    <row r="1072" ht="15.75" customHeight="1">
      <c r="A1072" s="169"/>
    </row>
    <row r="1073" ht="15.75" customHeight="1">
      <c r="A1073" s="169"/>
    </row>
    <row r="1074" ht="15.75" customHeight="1">
      <c r="A1074" s="169"/>
    </row>
    <row r="1075" ht="15.75" customHeight="1">
      <c r="A1075" s="169"/>
    </row>
    <row r="1076" ht="15.75" customHeight="1">
      <c r="A1076" s="169"/>
    </row>
    <row r="1077" ht="15.75" customHeight="1">
      <c r="A1077" s="169"/>
    </row>
    <row r="1078" ht="15.75" customHeight="1">
      <c r="A1078" s="169"/>
    </row>
    <row r="1079" ht="15.75" customHeight="1">
      <c r="A1079" s="169"/>
    </row>
    <row r="1080" ht="15.75" customHeight="1">
      <c r="A1080" s="169"/>
    </row>
    <row r="1081" ht="15.75" customHeight="1">
      <c r="A1081" s="169"/>
    </row>
    <row r="1082" ht="15.75" customHeight="1">
      <c r="A1082" s="169"/>
    </row>
    <row r="1083" ht="15.75" customHeight="1">
      <c r="A1083" s="169"/>
    </row>
    <row r="1084" ht="15.75" customHeight="1">
      <c r="A1084" s="169"/>
    </row>
    <row r="1085" ht="15.75" customHeight="1">
      <c r="A1085" s="169"/>
    </row>
    <row r="1086" ht="15.75" customHeight="1">
      <c r="A1086" s="169"/>
    </row>
    <row r="1087" ht="15.75" customHeight="1">
      <c r="A1087" s="169"/>
    </row>
    <row r="1088" ht="15.75" customHeight="1">
      <c r="A1088" s="169"/>
    </row>
    <row r="1089" ht="15.75" customHeight="1">
      <c r="A1089" s="169"/>
    </row>
    <row r="1090" ht="15.75" customHeight="1">
      <c r="A1090" s="169"/>
    </row>
    <row r="1091" ht="15.75" customHeight="1">
      <c r="A1091" s="169"/>
    </row>
    <row r="1092" ht="15.75" customHeight="1">
      <c r="A1092" s="169"/>
    </row>
    <row r="1093" ht="15.75" customHeight="1">
      <c r="A1093" s="169"/>
    </row>
    <row r="1094" ht="15.75" customHeight="1">
      <c r="A1094" s="169"/>
    </row>
    <row r="1095" ht="15.75" customHeight="1">
      <c r="A1095" s="169"/>
    </row>
    <row r="1096" ht="15.75" customHeight="1">
      <c r="A1096" s="169"/>
    </row>
    <row r="1097" ht="15.75" customHeight="1">
      <c r="A1097" s="169"/>
    </row>
    <row r="1098" ht="15.75" customHeight="1">
      <c r="A1098" s="169"/>
    </row>
    <row r="1099" ht="15.75" customHeight="1">
      <c r="A1099" s="169"/>
    </row>
    <row r="1100" ht="15.75" customHeight="1">
      <c r="A1100" s="169"/>
    </row>
    <row r="1101" ht="15.75" customHeight="1">
      <c r="A1101" s="169"/>
    </row>
    <row r="1102" ht="15.75" customHeight="1">
      <c r="A1102" s="169"/>
    </row>
    <row r="1103" ht="15.75" customHeight="1">
      <c r="A1103" s="169"/>
    </row>
    <row r="1104" ht="15.75" customHeight="1">
      <c r="A1104" s="169"/>
    </row>
    <row r="1105" ht="15.75" customHeight="1">
      <c r="A1105" s="169"/>
    </row>
    <row r="1106" ht="15.75" customHeight="1">
      <c r="A1106" s="169"/>
    </row>
    <row r="1107" ht="15.75" customHeight="1">
      <c r="A1107" s="169"/>
    </row>
    <row r="1108" ht="15.75" customHeight="1">
      <c r="A1108" s="169"/>
    </row>
    <row r="1109" ht="15.75" customHeight="1">
      <c r="A1109" s="169"/>
    </row>
    <row r="1110" ht="15.75" customHeight="1">
      <c r="A1110" s="169"/>
    </row>
    <row r="1111" ht="15.75" customHeight="1">
      <c r="A1111" s="169"/>
    </row>
    <row r="1112" ht="15.75" customHeight="1">
      <c r="A1112" s="169"/>
    </row>
    <row r="1113" ht="15.75" customHeight="1">
      <c r="A1113" s="169"/>
    </row>
    <row r="1114" ht="15.75" customHeight="1">
      <c r="A1114" s="169"/>
    </row>
    <row r="1115" ht="15.75" customHeight="1">
      <c r="A1115" s="169"/>
    </row>
    <row r="1116" ht="15.75" customHeight="1">
      <c r="A1116" s="169"/>
    </row>
    <row r="1117" ht="15.75" customHeight="1">
      <c r="A1117" s="169"/>
    </row>
    <row r="1118" ht="15.75" customHeight="1">
      <c r="A1118" s="169"/>
    </row>
    <row r="1119" ht="15.75" customHeight="1">
      <c r="A1119" s="169"/>
    </row>
    <row r="1120" ht="15.75" customHeight="1">
      <c r="A1120" s="169"/>
    </row>
    <row r="1121" ht="15.75" customHeight="1">
      <c r="A1121" s="169"/>
    </row>
    <row r="1122" ht="15.75" customHeight="1">
      <c r="A1122" s="169"/>
    </row>
    <row r="1123" ht="15.75" customHeight="1">
      <c r="A1123" s="169"/>
    </row>
    <row r="1124" ht="15.75" customHeight="1">
      <c r="A1124" s="169"/>
    </row>
    <row r="1125" ht="15.75" customHeight="1">
      <c r="A1125" s="169"/>
    </row>
    <row r="1126" ht="15.75" customHeight="1">
      <c r="A1126" s="169"/>
    </row>
    <row r="1127" ht="15.75" customHeight="1">
      <c r="A1127" s="169"/>
    </row>
    <row r="1128" ht="15.75" customHeight="1">
      <c r="A1128" s="169"/>
    </row>
    <row r="1129" ht="15.75" customHeight="1">
      <c r="A1129" s="169"/>
    </row>
    <row r="1130" ht="15.75" customHeight="1">
      <c r="A1130" s="169"/>
    </row>
    <row r="1131" ht="15.75" customHeight="1">
      <c r="A1131" s="169"/>
    </row>
    <row r="1132" ht="15.75" customHeight="1">
      <c r="A1132" s="169"/>
    </row>
    <row r="1133" ht="15.75" customHeight="1">
      <c r="A1133" s="169"/>
    </row>
    <row r="1134" ht="15.75" customHeight="1">
      <c r="A1134" s="169"/>
    </row>
    <row r="1135" ht="15.75" customHeight="1">
      <c r="A1135" s="169"/>
    </row>
    <row r="1136" ht="15.75" customHeight="1">
      <c r="A1136" s="169"/>
    </row>
    <row r="1137" ht="15.75" customHeight="1">
      <c r="A1137" s="169"/>
    </row>
    <row r="1138" ht="15.75" customHeight="1">
      <c r="A1138" s="169"/>
    </row>
    <row r="1139" ht="15.75" customHeight="1">
      <c r="A1139" s="169"/>
    </row>
    <row r="1140" ht="15.75" customHeight="1">
      <c r="A1140" s="169"/>
    </row>
    <row r="1141" ht="15.75" customHeight="1">
      <c r="A1141" s="169"/>
    </row>
    <row r="1142" ht="15.75" customHeight="1">
      <c r="A1142" s="169"/>
    </row>
    <row r="1143" ht="15.75" customHeight="1">
      <c r="A1143" s="169"/>
    </row>
    <row r="1144" ht="15.75" customHeight="1">
      <c r="A1144" s="169"/>
    </row>
    <row r="1145" ht="15.75" customHeight="1">
      <c r="A1145" s="169"/>
    </row>
    <row r="1146" ht="15.75" customHeight="1">
      <c r="A1146" s="169"/>
    </row>
    <row r="1147" ht="15.75" customHeight="1">
      <c r="A1147" s="169"/>
    </row>
    <row r="1148" ht="15.75" customHeight="1">
      <c r="A1148" s="169"/>
    </row>
    <row r="1149" ht="15.75" customHeight="1">
      <c r="A1149" s="169"/>
    </row>
    <row r="1150" ht="15.75" customHeight="1">
      <c r="A1150" s="169"/>
    </row>
    <row r="1151" ht="15.75" customHeight="1">
      <c r="A1151" s="169"/>
    </row>
    <row r="1152" ht="15.75" customHeight="1">
      <c r="A1152" s="169"/>
    </row>
    <row r="1153" ht="15.75" customHeight="1">
      <c r="A1153" s="169"/>
    </row>
    <row r="1154" ht="15.75" customHeight="1">
      <c r="A1154" s="169"/>
    </row>
    <row r="1155" ht="15.75" customHeight="1">
      <c r="A1155" s="169"/>
    </row>
    <row r="1156" ht="15.75" customHeight="1">
      <c r="A1156" s="169"/>
    </row>
    <row r="1157" ht="15.75" customHeight="1">
      <c r="A1157" s="169"/>
    </row>
    <row r="1158" ht="15.75" customHeight="1">
      <c r="A1158" s="169"/>
    </row>
    <row r="1159" ht="15.75" customHeight="1">
      <c r="A1159" s="169"/>
    </row>
    <row r="1160" ht="15.75" customHeight="1">
      <c r="A1160" s="169"/>
    </row>
    <row r="1161" ht="15.75" customHeight="1">
      <c r="A1161" s="169"/>
    </row>
    <row r="1162" ht="15.75" customHeight="1">
      <c r="A1162" s="169"/>
    </row>
    <row r="1163" ht="15.75" customHeight="1">
      <c r="A1163" s="169"/>
    </row>
    <row r="1164" ht="15.75" customHeight="1">
      <c r="A1164" s="169"/>
    </row>
    <row r="1165" ht="15.75" customHeight="1">
      <c r="A1165" s="169"/>
    </row>
    <row r="1166" ht="15.75" customHeight="1">
      <c r="A1166" s="169"/>
    </row>
    <row r="1167" ht="15.75" customHeight="1">
      <c r="A1167" s="169"/>
    </row>
    <row r="1168" ht="15.75" customHeight="1">
      <c r="A1168" s="169"/>
    </row>
    <row r="1169" ht="15.75" customHeight="1">
      <c r="A1169" s="169"/>
    </row>
    <row r="1170" ht="15.75" customHeight="1">
      <c r="A1170" s="169"/>
    </row>
    <row r="1171" ht="15.75" customHeight="1">
      <c r="A1171" s="169"/>
    </row>
    <row r="1172" ht="15.75" customHeight="1">
      <c r="A1172" s="169"/>
    </row>
    <row r="1173" ht="15.75" customHeight="1">
      <c r="A1173" s="169"/>
    </row>
    <row r="1174" ht="15.75" customHeight="1">
      <c r="A1174" s="169"/>
    </row>
    <row r="1175" ht="15.75" customHeight="1">
      <c r="A1175" s="169"/>
    </row>
    <row r="1176" ht="15.75" customHeight="1">
      <c r="A1176" s="169"/>
    </row>
    <row r="1177" ht="15.75" customHeight="1">
      <c r="A1177" s="169"/>
    </row>
    <row r="1178" ht="15.75" customHeight="1">
      <c r="A1178" s="169"/>
    </row>
    <row r="1179" ht="15.75" customHeight="1">
      <c r="A1179" s="169"/>
    </row>
    <row r="1180" ht="15.75" customHeight="1">
      <c r="A1180" s="169"/>
    </row>
    <row r="1181" ht="15.75" customHeight="1">
      <c r="A1181" s="169"/>
    </row>
    <row r="1182" ht="15.75" customHeight="1">
      <c r="A1182" s="169"/>
    </row>
    <row r="1183" ht="15.75" customHeight="1">
      <c r="A1183" s="169"/>
    </row>
    <row r="1184" ht="15.75" customHeight="1">
      <c r="A1184" s="169"/>
    </row>
    <row r="1185" ht="15.75" customHeight="1">
      <c r="A1185" s="169"/>
    </row>
    <row r="1186" ht="15.75" customHeight="1">
      <c r="A1186" s="169"/>
    </row>
    <row r="1187" ht="15.75" customHeight="1">
      <c r="A1187" s="169"/>
    </row>
    <row r="1188" ht="15.75" customHeight="1">
      <c r="A1188" s="169"/>
    </row>
    <row r="1189" ht="15.75" customHeight="1">
      <c r="A1189" s="169"/>
    </row>
    <row r="1190" ht="15.75" customHeight="1">
      <c r="A1190" s="169"/>
    </row>
    <row r="1191" ht="15.75" customHeight="1">
      <c r="A1191" s="169"/>
    </row>
    <row r="1192" ht="15.75" customHeight="1">
      <c r="A1192" s="169"/>
    </row>
    <row r="1193" ht="15.75" customHeight="1">
      <c r="A1193" s="169"/>
    </row>
    <row r="1194" ht="15.75" customHeight="1">
      <c r="A1194" s="169"/>
    </row>
    <row r="1195" ht="15.75" customHeight="1">
      <c r="A1195" s="169"/>
    </row>
    <row r="1196" ht="15.75" customHeight="1">
      <c r="A1196" s="169"/>
    </row>
    <row r="1197" ht="15.75" customHeight="1">
      <c r="A1197" s="169"/>
    </row>
    <row r="1198" ht="15.75" customHeight="1">
      <c r="A1198" s="169"/>
    </row>
    <row r="1199" ht="15.75" customHeight="1">
      <c r="A1199" s="169"/>
    </row>
    <row r="1200" ht="15.75" customHeight="1">
      <c r="A1200" s="169"/>
    </row>
    <row r="1201" ht="15.75" customHeight="1">
      <c r="A1201" s="169"/>
    </row>
    <row r="1202" ht="15.75" customHeight="1">
      <c r="A1202" s="169"/>
    </row>
    <row r="1203" ht="15.75" customHeight="1">
      <c r="A1203" s="169"/>
    </row>
    <row r="1204" ht="15.75" customHeight="1">
      <c r="A1204" s="169"/>
    </row>
    <row r="1205" ht="15.75" customHeight="1">
      <c r="A1205" s="169"/>
    </row>
    <row r="1206" ht="15.75" customHeight="1">
      <c r="A1206" s="169"/>
    </row>
    <row r="1207" ht="15.75" customHeight="1">
      <c r="A1207" s="169"/>
    </row>
    <row r="1208" ht="15.75" customHeight="1">
      <c r="A1208" s="169"/>
    </row>
    <row r="1209" ht="15.75" customHeight="1">
      <c r="A1209" s="169"/>
    </row>
    <row r="1210" ht="15.75" customHeight="1">
      <c r="A1210" s="169"/>
    </row>
    <row r="1211" ht="15.75" customHeight="1">
      <c r="A1211" s="169"/>
    </row>
    <row r="1212" ht="15.75" customHeight="1">
      <c r="A1212" s="169"/>
    </row>
    <row r="1213" ht="15.75" customHeight="1">
      <c r="A1213" s="169"/>
    </row>
    <row r="1214" ht="15.75" customHeight="1">
      <c r="A1214" s="169"/>
    </row>
    <row r="1215" ht="15.75" customHeight="1">
      <c r="A1215" s="169"/>
    </row>
    <row r="1216" ht="15.75" customHeight="1">
      <c r="A1216" s="169"/>
    </row>
    <row r="1217" ht="15.75" customHeight="1">
      <c r="A1217" s="169"/>
    </row>
    <row r="1218" ht="15.75" customHeight="1">
      <c r="A1218" s="169"/>
    </row>
    <row r="1219" ht="15.75" customHeight="1">
      <c r="A1219" s="169"/>
    </row>
    <row r="1220" ht="15.75" customHeight="1">
      <c r="A1220" s="169"/>
    </row>
    <row r="1221" ht="15.75" customHeight="1">
      <c r="A1221" s="169"/>
    </row>
    <row r="1222" ht="15.75" customHeight="1">
      <c r="A1222" s="169"/>
    </row>
    <row r="1223" ht="15.75" customHeight="1">
      <c r="A1223" s="169"/>
    </row>
    <row r="1224" ht="15.75" customHeight="1">
      <c r="A1224" s="169"/>
    </row>
    <row r="1225" ht="15.75" customHeight="1">
      <c r="A1225" s="169"/>
    </row>
    <row r="1226" ht="15.75" customHeight="1">
      <c r="A1226" s="169"/>
    </row>
    <row r="1227" ht="15.75" customHeight="1">
      <c r="A1227" s="169"/>
    </row>
    <row r="1228" ht="15.75" customHeight="1">
      <c r="A1228" s="169"/>
    </row>
    <row r="1229" ht="15.75" customHeight="1">
      <c r="A1229" s="169"/>
    </row>
    <row r="1230" ht="15.75" customHeight="1">
      <c r="A1230" s="169"/>
    </row>
    <row r="1231" ht="15.75" customHeight="1">
      <c r="A1231" s="169"/>
    </row>
    <row r="1232" ht="15.75" customHeight="1">
      <c r="A1232" s="169"/>
    </row>
    <row r="1233" ht="15.75" customHeight="1">
      <c r="A1233" s="169"/>
    </row>
    <row r="1234" ht="15.75" customHeight="1">
      <c r="A1234" s="169"/>
    </row>
    <row r="1235" ht="15.75" customHeight="1">
      <c r="A1235" s="169"/>
    </row>
    <row r="1236" ht="15.75" customHeight="1">
      <c r="A1236" s="169"/>
    </row>
    <row r="1237" ht="15.75" customHeight="1">
      <c r="A1237" s="169"/>
    </row>
    <row r="1238" ht="15.75" customHeight="1">
      <c r="A1238" s="169"/>
    </row>
    <row r="1239" ht="15.75" customHeight="1">
      <c r="A1239" s="169"/>
    </row>
    <row r="1240" ht="15.75" customHeight="1">
      <c r="A1240" s="169"/>
    </row>
    <row r="1241" ht="15.75" customHeight="1">
      <c r="A1241" s="169"/>
    </row>
    <row r="1242" ht="15.75" customHeight="1">
      <c r="A1242" s="169"/>
    </row>
    <row r="1243" ht="15.75" customHeight="1">
      <c r="A1243" s="169"/>
    </row>
    <row r="1244" ht="15.75" customHeight="1">
      <c r="A1244" s="169"/>
    </row>
    <row r="1245" ht="15.75" customHeight="1">
      <c r="A1245" s="169"/>
    </row>
    <row r="1246" ht="15.75" customHeight="1">
      <c r="A1246" s="169"/>
    </row>
    <row r="1247" ht="15.75" customHeight="1">
      <c r="A1247" s="169"/>
    </row>
    <row r="1248" ht="15.75" customHeight="1">
      <c r="A1248" s="169"/>
    </row>
    <row r="1249" ht="15.75" customHeight="1">
      <c r="A1249" s="169"/>
    </row>
    <row r="1250" ht="15.75" customHeight="1">
      <c r="A1250" s="169"/>
    </row>
    <row r="1251" ht="15.75" customHeight="1">
      <c r="A1251" s="169"/>
    </row>
    <row r="1252" ht="15.75" customHeight="1">
      <c r="A1252" s="169"/>
    </row>
    <row r="1253" ht="15.75" customHeight="1">
      <c r="A1253" s="169"/>
    </row>
    <row r="1254" ht="15.75" customHeight="1">
      <c r="A1254" s="169"/>
    </row>
    <row r="1255" ht="15.75" customHeight="1">
      <c r="A1255" s="169"/>
    </row>
    <row r="1256" ht="15.75" customHeight="1">
      <c r="A1256" s="169"/>
    </row>
    <row r="1257" ht="15.75" customHeight="1">
      <c r="A1257" s="169"/>
    </row>
    <row r="1258" ht="15.75" customHeight="1">
      <c r="A1258" s="169"/>
    </row>
    <row r="1259" ht="15.75" customHeight="1">
      <c r="A1259" s="169"/>
    </row>
    <row r="1260" ht="15.75" customHeight="1">
      <c r="A1260" s="169"/>
    </row>
    <row r="1261" ht="15.75" customHeight="1">
      <c r="A1261" s="169"/>
    </row>
    <row r="1262" ht="15.75" customHeight="1">
      <c r="A1262" s="169"/>
    </row>
    <row r="1263" ht="15.75" customHeight="1">
      <c r="A1263" s="169"/>
    </row>
    <row r="1264" ht="15.75" customHeight="1">
      <c r="A1264" s="169"/>
    </row>
    <row r="1265" ht="15.75" customHeight="1">
      <c r="A1265" s="169"/>
    </row>
    <row r="1266" ht="15.75" customHeight="1">
      <c r="A1266" s="169"/>
    </row>
    <row r="1267" ht="15.75" customHeight="1">
      <c r="A1267" s="169"/>
    </row>
    <row r="1268" ht="15.75" customHeight="1">
      <c r="A1268" s="169"/>
    </row>
    <row r="1269" ht="15.75" customHeight="1">
      <c r="A1269" s="169"/>
    </row>
    <row r="1270" ht="15.75" customHeight="1">
      <c r="A1270" s="169"/>
    </row>
    <row r="1271" ht="15.75" customHeight="1">
      <c r="A1271" s="169"/>
    </row>
    <row r="1272" ht="15.75" customHeight="1">
      <c r="A1272" s="169"/>
    </row>
    <row r="1273" ht="15.75" customHeight="1">
      <c r="A1273" s="169"/>
    </row>
    <row r="1274" ht="15.75" customHeight="1">
      <c r="A1274" s="169"/>
    </row>
    <row r="1275" ht="15.75" customHeight="1">
      <c r="A1275" s="169"/>
    </row>
    <row r="1276" ht="15.75" customHeight="1">
      <c r="A1276" s="169"/>
    </row>
    <row r="1277" ht="15.75" customHeight="1">
      <c r="A1277" s="169"/>
    </row>
    <row r="1278" ht="15.75" customHeight="1">
      <c r="A1278" s="169"/>
    </row>
    <row r="1279" ht="15.75" customHeight="1">
      <c r="A1279" s="169"/>
    </row>
    <row r="1280" ht="15.75" customHeight="1">
      <c r="A1280" s="169"/>
    </row>
    <row r="1281" ht="15.75" customHeight="1">
      <c r="A1281" s="169"/>
    </row>
    <row r="1282" ht="15.75" customHeight="1">
      <c r="A1282" s="169"/>
    </row>
    <row r="1283" ht="15.75" customHeight="1">
      <c r="A1283" s="169"/>
    </row>
    <row r="1284" ht="15.75" customHeight="1">
      <c r="A1284" s="169"/>
    </row>
    <row r="1285" ht="15.75" customHeight="1">
      <c r="A1285" s="169"/>
    </row>
    <row r="1286" ht="15.75" customHeight="1">
      <c r="A1286" s="169"/>
    </row>
    <row r="1287" ht="15.75" customHeight="1">
      <c r="A1287" s="169"/>
    </row>
    <row r="1288" ht="15.75" customHeight="1">
      <c r="A1288" s="169"/>
    </row>
    <row r="1289" ht="15.75" customHeight="1">
      <c r="A1289" s="169"/>
    </row>
    <row r="1290" ht="15.75" customHeight="1">
      <c r="A1290" s="169"/>
    </row>
    <row r="1291" ht="15.75" customHeight="1">
      <c r="A1291" s="169"/>
    </row>
    <row r="1292" ht="15.75" customHeight="1">
      <c r="A1292" s="169"/>
    </row>
    <row r="1293" ht="15.75" customHeight="1">
      <c r="A1293" s="169"/>
    </row>
    <row r="1294" ht="15.75" customHeight="1">
      <c r="A1294" s="169"/>
    </row>
    <row r="1295" ht="15.75" customHeight="1">
      <c r="A1295" s="169"/>
    </row>
    <row r="1296" ht="15.75" customHeight="1">
      <c r="A1296" s="169"/>
    </row>
    <row r="1297" ht="15.75" customHeight="1">
      <c r="A1297" s="169"/>
    </row>
    <row r="1298" ht="15.75" customHeight="1">
      <c r="A1298" s="169"/>
    </row>
    <row r="1299" ht="15.75" customHeight="1">
      <c r="A1299" s="169"/>
    </row>
    <row r="1300" ht="15.75" customHeight="1">
      <c r="A1300" s="169"/>
    </row>
    <row r="1301" ht="15.75" customHeight="1">
      <c r="A1301" s="169"/>
    </row>
    <row r="1302" ht="15.75" customHeight="1">
      <c r="A1302" s="169"/>
    </row>
    <row r="1303" ht="15.75" customHeight="1">
      <c r="A1303" s="169"/>
    </row>
    <row r="1304" ht="15.75" customHeight="1">
      <c r="A1304" s="169"/>
    </row>
    <row r="1305" ht="15.75" customHeight="1">
      <c r="A1305" s="169"/>
    </row>
    <row r="1306" ht="15.75" customHeight="1">
      <c r="A1306" s="169"/>
    </row>
    <row r="1307" ht="15.75" customHeight="1">
      <c r="A1307" s="169"/>
    </row>
    <row r="1308" ht="15.75" customHeight="1">
      <c r="A1308" s="169"/>
    </row>
    <row r="1309" ht="15.75" customHeight="1">
      <c r="A1309" s="169"/>
    </row>
    <row r="1310" ht="15.75" customHeight="1">
      <c r="A1310" s="169"/>
    </row>
    <row r="1311" ht="15.75" customHeight="1">
      <c r="A1311" s="169"/>
    </row>
    <row r="1312" ht="15.75" customHeight="1">
      <c r="A1312" s="169"/>
    </row>
    <row r="1313" ht="15.75" customHeight="1">
      <c r="A1313" s="169"/>
    </row>
    <row r="1314" ht="15.75" customHeight="1">
      <c r="A1314" s="169"/>
    </row>
    <row r="1315" ht="15.75" customHeight="1">
      <c r="A1315" s="169"/>
    </row>
    <row r="1316" ht="15.75" customHeight="1">
      <c r="A1316" s="169"/>
    </row>
    <row r="1317" ht="15.75" customHeight="1">
      <c r="A1317" s="169"/>
    </row>
    <row r="1318" ht="15.75" customHeight="1">
      <c r="A1318" s="169"/>
    </row>
    <row r="1319" ht="15.75" customHeight="1">
      <c r="A1319" s="169"/>
    </row>
    <row r="1320" ht="15.75" customHeight="1">
      <c r="A1320" s="169"/>
    </row>
    <row r="1321" ht="15.75" customHeight="1">
      <c r="A1321" s="169"/>
    </row>
    <row r="1322" ht="15.75" customHeight="1">
      <c r="A1322" s="169"/>
    </row>
    <row r="1323" ht="15.75" customHeight="1">
      <c r="A1323" s="169"/>
    </row>
    <row r="1324" ht="15.75" customHeight="1">
      <c r="A1324" s="169"/>
    </row>
    <row r="1325" ht="15.75" customHeight="1">
      <c r="A1325" s="169"/>
    </row>
    <row r="1326" ht="15.75" customHeight="1">
      <c r="A1326" s="169"/>
    </row>
    <row r="1327" ht="15.75" customHeight="1">
      <c r="A1327" s="169"/>
    </row>
    <row r="1328" ht="15.75" customHeight="1">
      <c r="A1328" s="169"/>
    </row>
    <row r="1329" ht="15.75" customHeight="1">
      <c r="A1329" s="169"/>
    </row>
    <row r="1330" ht="15.75" customHeight="1">
      <c r="A1330" s="169"/>
    </row>
    <row r="1331" ht="15.75" customHeight="1">
      <c r="A1331" s="169"/>
    </row>
    <row r="1332" ht="15.75" customHeight="1">
      <c r="A1332" s="169"/>
    </row>
    <row r="1333" ht="15.75" customHeight="1">
      <c r="A1333" s="169"/>
    </row>
    <row r="1334" ht="15.75" customHeight="1">
      <c r="A1334" s="169"/>
    </row>
    <row r="1335" ht="15.75" customHeight="1">
      <c r="A1335" s="169"/>
    </row>
    <row r="1336" ht="15.75" customHeight="1">
      <c r="A1336" s="169"/>
    </row>
    <row r="1337" ht="15.75" customHeight="1">
      <c r="A1337" s="169"/>
    </row>
    <row r="1338" ht="15.75" customHeight="1">
      <c r="A1338" s="169"/>
    </row>
    <row r="1339" ht="15.75" customHeight="1">
      <c r="A1339" s="169"/>
    </row>
    <row r="1340" ht="15.75" customHeight="1">
      <c r="A1340" s="169"/>
    </row>
    <row r="1341" ht="15.75" customHeight="1">
      <c r="A1341" s="169"/>
    </row>
    <row r="1342" ht="15.75" customHeight="1">
      <c r="A1342" s="169"/>
    </row>
    <row r="1343" ht="15.75" customHeight="1">
      <c r="A1343" s="169"/>
    </row>
    <row r="1344" ht="15.75" customHeight="1">
      <c r="A1344" s="169"/>
    </row>
    <row r="1345" ht="15.75" customHeight="1">
      <c r="A1345" s="169"/>
    </row>
    <row r="1346" ht="15.75" customHeight="1">
      <c r="A1346" s="169"/>
    </row>
    <row r="1347" ht="15.75" customHeight="1">
      <c r="A1347" s="169"/>
    </row>
    <row r="1348" ht="15.75" customHeight="1">
      <c r="A1348" s="169"/>
    </row>
    <row r="1349" ht="15.75" customHeight="1">
      <c r="A1349" s="169"/>
    </row>
    <row r="1350" ht="15.75" customHeight="1">
      <c r="A1350" s="169"/>
    </row>
    <row r="1351" ht="15.75" customHeight="1">
      <c r="A1351" s="169"/>
    </row>
    <row r="1352" ht="15.75" customHeight="1">
      <c r="A1352" s="169"/>
    </row>
    <row r="1353" ht="15.75" customHeight="1">
      <c r="A1353" s="169"/>
    </row>
    <row r="1354" ht="15.75" customHeight="1">
      <c r="A1354" s="169"/>
    </row>
    <row r="1355" ht="15.75" customHeight="1">
      <c r="A1355" s="169"/>
    </row>
    <row r="1356" ht="15.75" customHeight="1">
      <c r="A1356" s="169"/>
    </row>
    <row r="1357" ht="15.75" customHeight="1">
      <c r="A1357" s="169"/>
    </row>
    <row r="1358" ht="15.75" customHeight="1">
      <c r="A1358" s="169"/>
    </row>
    <row r="1359" ht="15.75" customHeight="1">
      <c r="A1359" s="169"/>
    </row>
    <row r="1360" ht="15.75" customHeight="1">
      <c r="A1360" s="169"/>
    </row>
    <row r="1361" ht="15.75" customHeight="1">
      <c r="A1361" s="169"/>
    </row>
    <row r="1362" ht="15.75" customHeight="1">
      <c r="A1362" s="169"/>
    </row>
    <row r="1363" ht="15.75" customHeight="1">
      <c r="A1363" s="169"/>
    </row>
    <row r="1364" ht="15.75" customHeight="1">
      <c r="A1364" s="169"/>
    </row>
    <row r="1365" ht="15.75" customHeight="1">
      <c r="A1365" s="169"/>
    </row>
    <row r="1366" ht="15.75" customHeight="1">
      <c r="A1366" s="169"/>
    </row>
    <row r="1367" ht="15.75" customHeight="1">
      <c r="A1367" s="169"/>
    </row>
    <row r="1368" ht="15.75" customHeight="1">
      <c r="A1368" s="169"/>
    </row>
    <row r="1369" ht="15.75" customHeight="1">
      <c r="A1369" s="169"/>
    </row>
    <row r="1370" ht="15.75" customHeight="1">
      <c r="A1370" s="169"/>
    </row>
    <row r="1371" ht="15.75" customHeight="1">
      <c r="A1371" s="169"/>
    </row>
    <row r="1372" ht="15.75" customHeight="1">
      <c r="A1372" s="169"/>
    </row>
    <row r="1373" ht="15.75" customHeight="1">
      <c r="A1373" s="169"/>
    </row>
    <row r="1374" ht="15.75" customHeight="1">
      <c r="A1374" s="169"/>
    </row>
    <row r="1375" ht="15.75" customHeight="1">
      <c r="A1375" s="169"/>
    </row>
    <row r="1376" ht="15.75" customHeight="1">
      <c r="A1376" s="169"/>
    </row>
    <row r="1377" ht="15.75" customHeight="1">
      <c r="A1377" s="169"/>
    </row>
    <row r="1378" ht="15.75" customHeight="1">
      <c r="A1378" s="169"/>
    </row>
    <row r="1379" ht="15.75" customHeight="1">
      <c r="A1379" s="169"/>
    </row>
    <row r="1380" ht="15.75" customHeight="1">
      <c r="A1380" s="169"/>
    </row>
    <row r="1381" ht="15.75" customHeight="1">
      <c r="A1381" s="169"/>
    </row>
    <row r="1382" ht="15.75" customHeight="1">
      <c r="A1382" s="169"/>
    </row>
    <row r="1383" ht="15.75" customHeight="1">
      <c r="A1383" s="169"/>
    </row>
    <row r="1384" ht="15.75" customHeight="1">
      <c r="A1384" s="169"/>
    </row>
    <row r="1385" ht="15.75" customHeight="1">
      <c r="A1385" s="169"/>
    </row>
    <row r="1386" ht="15.75" customHeight="1">
      <c r="A1386" s="169"/>
    </row>
    <row r="1387" ht="15.75" customHeight="1">
      <c r="A1387" s="169"/>
    </row>
    <row r="1388" ht="15.75" customHeight="1">
      <c r="A1388" s="169"/>
    </row>
    <row r="1389" ht="15.75" customHeight="1">
      <c r="A1389" s="169"/>
    </row>
    <row r="1390" ht="15.75" customHeight="1">
      <c r="A1390" s="169"/>
    </row>
    <row r="1391" ht="15.75" customHeight="1">
      <c r="A1391" s="169"/>
    </row>
    <row r="1392" ht="15.75" customHeight="1">
      <c r="A1392" s="169"/>
    </row>
    <row r="1393" ht="15.75" customHeight="1">
      <c r="A1393" s="169"/>
    </row>
    <row r="1394" ht="15.75" customHeight="1">
      <c r="A1394" s="169"/>
    </row>
    <row r="1395" ht="15.75" customHeight="1">
      <c r="A1395" s="169"/>
    </row>
    <row r="1396" ht="15.75" customHeight="1">
      <c r="A1396" s="169"/>
    </row>
    <row r="1397" ht="15.75" customHeight="1">
      <c r="A1397" s="169"/>
    </row>
    <row r="1398" ht="15.75" customHeight="1">
      <c r="A1398" s="169"/>
    </row>
    <row r="1399" ht="15.75" customHeight="1">
      <c r="A1399" s="169"/>
    </row>
    <row r="1400" ht="15.75" customHeight="1">
      <c r="A1400" s="169"/>
    </row>
    <row r="1401" ht="15.75" customHeight="1">
      <c r="A1401" s="169"/>
    </row>
    <row r="1402" ht="15.75" customHeight="1">
      <c r="A1402" s="169"/>
    </row>
    <row r="1403" ht="15.75" customHeight="1">
      <c r="A1403" s="169"/>
    </row>
    <row r="1404" ht="15.75" customHeight="1">
      <c r="A1404" s="169"/>
    </row>
    <row r="1405" ht="15.75" customHeight="1">
      <c r="A1405" s="169"/>
    </row>
    <row r="1406" ht="15.75" customHeight="1">
      <c r="A1406" s="169"/>
    </row>
    <row r="1407" ht="15.75" customHeight="1">
      <c r="A1407" s="169"/>
    </row>
    <row r="1408" ht="15.75" customHeight="1">
      <c r="A1408" s="169"/>
    </row>
    <row r="1409" ht="15.75" customHeight="1">
      <c r="A1409" s="169"/>
    </row>
    <row r="1410" ht="15.75" customHeight="1">
      <c r="A1410" s="169"/>
    </row>
    <row r="1411" ht="15.75" customHeight="1">
      <c r="A1411" s="169"/>
    </row>
    <row r="1412" ht="15.75" customHeight="1">
      <c r="A1412" s="169"/>
    </row>
    <row r="1413" ht="15.75" customHeight="1">
      <c r="A1413" s="169"/>
    </row>
    <row r="1414" ht="15.75" customHeight="1">
      <c r="A1414" s="169"/>
    </row>
    <row r="1415" ht="15.75" customHeight="1">
      <c r="A1415" s="169"/>
    </row>
    <row r="1416" ht="15.75" customHeight="1">
      <c r="A1416" s="169"/>
    </row>
    <row r="1417" ht="15.75" customHeight="1">
      <c r="A1417" s="169"/>
    </row>
    <row r="1418" ht="15.75" customHeight="1">
      <c r="A1418" s="169"/>
    </row>
    <row r="1419" ht="15.75" customHeight="1">
      <c r="A1419" s="169"/>
    </row>
    <row r="1420" ht="15.75" customHeight="1">
      <c r="A1420" s="169"/>
    </row>
    <row r="1421" ht="15.75" customHeight="1">
      <c r="A1421" s="169"/>
    </row>
    <row r="1422" ht="15.75" customHeight="1">
      <c r="A1422" s="169"/>
    </row>
    <row r="1423" ht="15.75" customHeight="1">
      <c r="A1423" s="169"/>
    </row>
    <row r="1424" ht="15.75" customHeight="1">
      <c r="A1424" s="169"/>
    </row>
    <row r="1425" ht="15.75" customHeight="1">
      <c r="A1425" s="169"/>
    </row>
    <row r="1426" ht="15.75" customHeight="1">
      <c r="A1426" s="169"/>
    </row>
    <row r="1427" ht="15.75" customHeight="1">
      <c r="A1427" s="169"/>
    </row>
    <row r="1428" ht="15.75" customHeight="1">
      <c r="A1428" s="169"/>
    </row>
    <row r="1429" ht="15.75" customHeight="1">
      <c r="A1429" s="169"/>
    </row>
    <row r="1430" ht="15.75" customHeight="1">
      <c r="A1430" s="169"/>
    </row>
    <row r="1431" ht="15.75" customHeight="1">
      <c r="A1431" s="169"/>
    </row>
    <row r="1432" ht="15.75" customHeight="1">
      <c r="A1432" s="169"/>
    </row>
    <row r="1433" ht="15.75" customHeight="1">
      <c r="A1433" s="169"/>
    </row>
    <row r="1434" ht="15.75" customHeight="1">
      <c r="A1434" s="169"/>
    </row>
    <row r="1435" ht="15.75" customHeight="1">
      <c r="A1435" s="169"/>
    </row>
    <row r="1436" ht="15.75" customHeight="1">
      <c r="A1436" s="169"/>
    </row>
    <row r="1437" ht="15.75" customHeight="1">
      <c r="A1437" s="169"/>
    </row>
    <row r="1438" ht="15.75" customHeight="1">
      <c r="A1438" s="169"/>
    </row>
    <row r="1439" ht="15.75" customHeight="1">
      <c r="A1439" s="169"/>
    </row>
    <row r="1440" ht="15.75" customHeight="1">
      <c r="A1440" s="169"/>
    </row>
    <row r="1441" ht="15.75" customHeight="1">
      <c r="A1441" s="169"/>
    </row>
    <row r="1442" ht="15.75" customHeight="1">
      <c r="A1442" s="169"/>
    </row>
    <row r="1443" ht="15.75" customHeight="1">
      <c r="A1443" s="169"/>
    </row>
    <row r="1444" ht="15.75" customHeight="1">
      <c r="A1444" s="169"/>
    </row>
    <row r="1445" ht="15.75" customHeight="1">
      <c r="A1445" s="169"/>
    </row>
    <row r="1446" ht="15.75" customHeight="1">
      <c r="A1446" s="169"/>
    </row>
    <row r="1447" ht="15.75" customHeight="1">
      <c r="A1447" s="169"/>
    </row>
    <row r="1448" ht="15.75" customHeight="1">
      <c r="A1448" s="169"/>
    </row>
    <row r="1449" ht="15.75" customHeight="1">
      <c r="A1449" s="169"/>
    </row>
    <row r="1450" ht="15.75" customHeight="1">
      <c r="A1450" s="169"/>
    </row>
    <row r="1451" ht="15.75" customHeight="1">
      <c r="A1451" s="169"/>
    </row>
    <row r="1452" ht="15.75" customHeight="1">
      <c r="A1452" s="169"/>
    </row>
    <row r="1453" ht="15.75" customHeight="1">
      <c r="A1453" s="169"/>
    </row>
    <row r="1454" ht="15.75" customHeight="1">
      <c r="A1454" s="169"/>
    </row>
    <row r="1455" ht="15.75" customHeight="1">
      <c r="A1455" s="169"/>
    </row>
    <row r="1456" ht="15.75" customHeight="1">
      <c r="A1456" s="169"/>
    </row>
    <row r="1457" ht="15.75" customHeight="1">
      <c r="A1457" s="169"/>
    </row>
    <row r="1458" ht="15.75" customHeight="1">
      <c r="A1458" s="169"/>
    </row>
    <row r="1459" ht="15.75" customHeight="1">
      <c r="A1459" s="169"/>
    </row>
    <row r="1460" ht="15.75" customHeight="1">
      <c r="A1460" s="169"/>
    </row>
    <row r="1461" ht="15.75" customHeight="1">
      <c r="A1461" s="169"/>
    </row>
    <row r="1462" ht="15.75" customHeight="1">
      <c r="A1462" s="169"/>
    </row>
    <row r="1463" ht="15.75" customHeight="1">
      <c r="A1463" s="169"/>
    </row>
    <row r="1464" ht="15.75" customHeight="1">
      <c r="A1464" s="169"/>
    </row>
    <row r="1465" ht="15.75" customHeight="1">
      <c r="A1465" s="169"/>
    </row>
    <row r="1466" ht="15.75" customHeight="1">
      <c r="A1466" s="169"/>
    </row>
    <row r="1467" ht="15.75" customHeight="1">
      <c r="A1467" s="169"/>
    </row>
    <row r="1468" ht="15.75" customHeight="1">
      <c r="A1468" s="169"/>
    </row>
    <row r="1469" ht="15.75" customHeight="1">
      <c r="A1469" s="169"/>
    </row>
    <row r="1470" ht="15.75" customHeight="1">
      <c r="A1470" s="169"/>
    </row>
    <row r="1471" ht="15.75" customHeight="1">
      <c r="A1471" s="169"/>
    </row>
    <row r="1472" ht="15.75" customHeight="1">
      <c r="A1472" s="169"/>
    </row>
    <row r="1473" ht="15.75" customHeight="1">
      <c r="A1473" s="169"/>
    </row>
    <row r="1474" ht="15.75" customHeight="1">
      <c r="A1474" s="169"/>
    </row>
    <row r="1475" ht="15.75" customHeight="1">
      <c r="A1475" s="169"/>
    </row>
    <row r="1476" ht="15.75" customHeight="1">
      <c r="A1476" s="169"/>
    </row>
    <row r="1477" ht="15.75" customHeight="1">
      <c r="A1477" s="169"/>
    </row>
    <row r="1478" ht="15.75" customHeight="1">
      <c r="A1478" s="169"/>
    </row>
    <row r="1479" ht="15.75" customHeight="1">
      <c r="A1479" s="169"/>
    </row>
    <row r="1480" ht="15.75" customHeight="1">
      <c r="A1480" s="169"/>
    </row>
    <row r="1481" ht="15.75" customHeight="1">
      <c r="A1481" s="169"/>
    </row>
    <row r="1482" ht="15.75" customHeight="1">
      <c r="A1482" s="169"/>
    </row>
    <row r="1483" ht="15.75" customHeight="1">
      <c r="A1483" s="169"/>
    </row>
    <row r="1484" ht="15.75" customHeight="1">
      <c r="A1484" s="169"/>
    </row>
    <row r="1485" ht="15.75" customHeight="1">
      <c r="A1485" s="169"/>
    </row>
    <row r="1486" ht="15.75" customHeight="1">
      <c r="A1486" s="169"/>
    </row>
    <row r="1487" ht="15.75" customHeight="1">
      <c r="A1487" s="169"/>
    </row>
    <row r="1488" ht="15.75" customHeight="1">
      <c r="A1488" s="169"/>
    </row>
    <row r="1489" ht="15.75" customHeight="1">
      <c r="A1489" s="169"/>
    </row>
    <row r="1490" ht="15.75" customHeight="1">
      <c r="A1490" s="169"/>
    </row>
    <row r="1491" ht="15.75" customHeight="1">
      <c r="A1491" s="169"/>
    </row>
    <row r="1492" ht="15.75" customHeight="1">
      <c r="A1492" s="169"/>
    </row>
    <row r="1493" ht="15.75" customHeight="1">
      <c r="A1493" s="169"/>
    </row>
    <row r="1494" ht="15.75" customHeight="1">
      <c r="A1494" s="169"/>
    </row>
    <row r="1495" ht="15.75" customHeight="1">
      <c r="A1495" s="169"/>
    </row>
    <row r="1496" ht="15.75" customHeight="1">
      <c r="A1496" s="169"/>
    </row>
    <row r="1497" ht="15.75" customHeight="1">
      <c r="A1497" s="169"/>
    </row>
    <row r="1498" ht="15.75" customHeight="1">
      <c r="A1498" s="169"/>
    </row>
    <row r="1499" ht="15.75" customHeight="1">
      <c r="A1499" s="169"/>
    </row>
    <row r="1500" ht="15.75" customHeight="1">
      <c r="A1500" s="169"/>
    </row>
    <row r="1501" ht="15.75" customHeight="1">
      <c r="A1501" s="169"/>
    </row>
    <row r="1502" ht="15.75" customHeight="1">
      <c r="A1502" s="169"/>
    </row>
    <row r="1503" ht="15.75" customHeight="1">
      <c r="A1503" s="169"/>
    </row>
    <row r="1504" ht="15.75" customHeight="1">
      <c r="A1504" s="169"/>
    </row>
    <row r="1505" ht="15.75" customHeight="1">
      <c r="A1505" s="169"/>
    </row>
    <row r="1506" ht="15.75" customHeight="1">
      <c r="A1506" s="169"/>
    </row>
    <row r="1507" ht="15.75" customHeight="1">
      <c r="A1507" s="169"/>
    </row>
    <row r="1508" ht="15.75" customHeight="1">
      <c r="A1508" s="169"/>
    </row>
    <row r="1509" ht="15.75" customHeight="1">
      <c r="A1509" s="169"/>
    </row>
    <row r="1510" ht="15.75" customHeight="1">
      <c r="A1510" s="169"/>
    </row>
    <row r="1511" ht="15.75" customHeight="1">
      <c r="A1511" s="169"/>
    </row>
    <row r="1512" ht="15.75" customHeight="1">
      <c r="A1512" s="169"/>
    </row>
    <row r="1513" ht="15.75" customHeight="1">
      <c r="A1513" s="169"/>
    </row>
    <row r="1514" ht="15.75" customHeight="1">
      <c r="A1514" s="169"/>
    </row>
    <row r="1515" ht="15.75" customHeight="1">
      <c r="A1515" s="169"/>
    </row>
    <row r="1516" ht="15.75" customHeight="1">
      <c r="A1516" s="169"/>
    </row>
    <row r="1517" ht="15.75" customHeight="1">
      <c r="A1517" s="169"/>
    </row>
    <row r="1518" ht="15.75" customHeight="1">
      <c r="A1518" s="169"/>
    </row>
    <row r="1519" ht="15.75" customHeight="1">
      <c r="A1519" s="169"/>
    </row>
    <row r="1520" ht="15.75" customHeight="1">
      <c r="A1520" s="169"/>
    </row>
    <row r="1521" ht="15.75" customHeight="1">
      <c r="A1521" s="169"/>
    </row>
    <row r="1522" ht="15.75" customHeight="1">
      <c r="A1522" s="169"/>
    </row>
    <row r="1523" ht="15.75" customHeight="1">
      <c r="A1523" s="169"/>
    </row>
    <row r="1524" ht="15.75" customHeight="1">
      <c r="A1524" s="169"/>
    </row>
    <row r="1525" ht="15.75" customHeight="1">
      <c r="A1525" s="169"/>
    </row>
    <row r="1526" ht="15.75" customHeight="1">
      <c r="A1526" s="169"/>
    </row>
    <row r="1527" ht="15.75" customHeight="1">
      <c r="A1527" s="169"/>
    </row>
    <row r="1528" ht="15.75" customHeight="1">
      <c r="A1528" s="169"/>
    </row>
    <row r="1529" ht="15.75" customHeight="1">
      <c r="A1529" s="169"/>
    </row>
    <row r="1530" ht="15.75" customHeight="1">
      <c r="A1530" s="169"/>
    </row>
    <row r="1531" ht="15.75" customHeight="1">
      <c r="A1531" s="169"/>
    </row>
    <row r="1532" ht="15.75" customHeight="1">
      <c r="A1532" s="169"/>
    </row>
    <row r="1533" ht="15.75" customHeight="1">
      <c r="A1533" s="169"/>
    </row>
    <row r="1534" ht="15.75" customHeight="1">
      <c r="A1534" s="169"/>
    </row>
    <row r="1535" ht="15.75" customHeight="1">
      <c r="A1535" s="169"/>
    </row>
    <row r="1536" ht="15.75" customHeight="1">
      <c r="A1536" s="169"/>
    </row>
    <row r="1537" ht="15.75" customHeight="1">
      <c r="A1537" s="169"/>
    </row>
    <row r="1538" ht="15.75" customHeight="1">
      <c r="A1538" s="169"/>
    </row>
    <row r="1539" ht="15.75" customHeight="1">
      <c r="A1539" s="169"/>
    </row>
    <row r="1540" ht="15.75" customHeight="1">
      <c r="A1540" s="169"/>
    </row>
    <row r="1541" ht="15.75" customHeight="1">
      <c r="A1541" s="169"/>
    </row>
    <row r="1542" ht="15.75" customHeight="1">
      <c r="A1542" s="169"/>
    </row>
    <row r="1543" ht="15.75" customHeight="1">
      <c r="A1543" s="169"/>
    </row>
    <row r="1544" ht="15.75" customHeight="1">
      <c r="A1544" s="169"/>
    </row>
    <row r="1545" ht="15.75" customHeight="1">
      <c r="A1545" s="169"/>
    </row>
    <row r="1546" ht="15.75" customHeight="1">
      <c r="A1546" s="169"/>
    </row>
    <row r="1547" ht="15.75" customHeight="1">
      <c r="A1547" s="169"/>
    </row>
    <row r="1548" ht="15.75" customHeight="1">
      <c r="A1548" s="169"/>
    </row>
    <row r="1549" ht="15.75" customHeight="1">
      <c r="A1549" s="169"/>
    </row>
    <row r="1550" ht="15.75" customHeight="1">
      <c r="A1550" s="169"/>
    </row>
    <row r="1551" ht="15.75" customHeight="1">
      <c r="A1551" s="169"/>
    </row>
    <row r="1552" ht="15.75" customHeight="1">
      <c r="A1552" s="169"/>
    </row>
    <row r="1553" ht="15.75" customHeight="1">
      <c r="A1553" s="169"/>
    </row>
    <row r="1554" ht="15.75" customHeight="1">
      <c r="A1554" s="169"/>
    </row>
    <row r="1555" ht="15.75" customHeight="1">
      <c r="A1555" s="169"/>
    </row>
    <row r="1556" ht="15.75" customHeight="1">
      <c r="A1556" s="169"/>
    </row>
    <row r="1557" ht="15.75" customHeight="1">
      <c r="A1557" s="169"/>
    </row>
    <row r="1558" ht="15.75" customHeight="1">
      <c r="A1558" s="169"/>
    </row>
    <row r="1559" ht="15.75" customHeight="1">
      <c r="A1559" s="169"/>
    </row>
    <row r="1560" ht="15.75" customHeight="1">
      <c r="A1560" s="169"/>
    </row>
    <row r="1561" ht="15.75" customHeight="1">
      <c r="A1561" s="169"/>
    </row>
    <row r="1562" ht="15.75" customHeight="1">
      <c r="A1562" s="169"/>
    </row>
    <row r="1563" ht="15.75" customHeight="1">
      <c r="A1563" s="169"/>
    </row>
    <row r="1564" ht="15.75" customHeight="1">
      <c r="A1564" s="169"/>
    </row>
    <row r="1565" ht="15.75" customHeight="1">
      <c r="A1565" s="169"/>
    </row>
    <row r="1566" ht="15.75" customHeight="1">
      <c r="A1566" s="169"/>
    </row>
    <row r="1567" ht="15.75" customHeight="1">
      <c r="A1567" s="169"/>
    </row>
    <row r="1568" ht="15.75" customHeight="1">
      <c r="A1568" s="169"/>
    </row>
    <row r="1569" ht="15.75" customHeight="1">
      <c r="A1569" s="169"/>
    </row>
    <row r="1570" ht="15.75" customHeight="1">
      <c r="A1570" s="169"/>
    </row>
    <row r="1571" ht="15.75" customHeight="1">
      <c r="A1571" s="169"/>
    </row>
    <row r="1572" ht="15.75" customHeight="1">
      <c r="A1572" s="169"/>
    </row>
    <row r="1573" ht="15.75" customHeight="1">
      <c r="A1573" s="169"/>
    </row>
    <row r="1574" ht="15.75" customHeight="1">
      <c r="A1574" s="169"/>
    </row>
    <row r="1575" ht="15.75" customHeight="1">
      <c r="A1575" s="169"/>
    </row>
    <row r="1576" ht="15.75" customHeight="1">
      <c r="A1576" s="169"/>
    </row>
    <row r="1577" ht="15.75" customHeight="1">
      <c r="A1577" s="169"/>
    </row>
    <row r="1578" ht="15.75" customHeight="1">
      <c r="A1578" s="169"/>
    </row>
    <row r="1579" ht="15.75" customHeight="1">
      <c r="A1579" s="169"/>
    </row>
    <row r="1580" ht="15.75" customHeight="1">
      <c r="A1580" s="169"/>
    </row>
    <row r="1581" ht="15.75" customHeight="1">
      <c r="A1581" s="169"/>
    </row>
    <row r="1582" ht="15.75" customHeight="1">
      <c r="A1582" s="169"/>
    </row>
    <row r="1583" ht="15.75" customHeight="1">
      <c r="A1583" s="169"/>
    </row>
    <row r="1584" ht="15.75" customHeight="1">
      <c r="A1584" s="169"/>
    </row>
    <row r="1585" ht="15.75" customHeight="1">
      <c r="A1585" s="169"/>
    </row>
    <row r="1586" ht="15.75" customHeight="1">
      <c r="A1586" s="169"/>
    </row>
    <row r="1587" ht="15.75" customHeight="1">
      <c r="A1587" s="169"/>
    </row>
    <row r="1588" ht="15.75" customHeight="1">
      <c r="A1588" s="169"/>
    </row>
    <row r="1589" ht="15.75" customHeight="1">
      <c r="A1589" s="169"/>
    </row>
    <row r="1590" ht="15.75" customHeight="1">
      <c r="A1590" s="169"/>
    </row>
    <row r="1591" ht="15.75" customHeight="1">
      <c r="A1591" s="169"/>
    </row>
    <row r="1592" ht="15.75" customHeight="1">
      <c r="A1592" s="169"/>
    </row>
    <row r="1593" ht="15.75" customHeight="1">
      <c r="A1593" s="169"/>
    </row>
    <row r="1594" ht="15.75" customHeight="1">
      <c r="A1594" s="169"/>
    </row>
    <row r="1595" ht="15.75" customHeight="1">
      <c r="A1595" s="169"/>
    </row>
    <row r="1596" ht="15.75" customHeight="1">
      <c r="A1596" s="169"/>
    </row>
    <row r="1597" ht="15.75" customHeight="1">
      <c r="A1597" s="169"/>
    </row>
    <row r="1598" ht="15.75" customHeight="1">
      <c r="A1598" s="169"/>
    </row>
    <row r="1599" ht="15.75" customHeight="1">
      <c r="A1599" s="169"/>
    </row>
    <row r="1600" ht="15.75" customHeight="1">
      <c r="A1600" s="169"/>
    </row>
    <row r="1601" ht="15.75" customHeight="1">
      <c r="A1601" s="169"/>
    </row>
    <row r="1602" ht="15.75" customHeight="1">
      <c r="A1602" s="169"/>
    </row>
    <row r="1603" ht="15.75" customHeight="1">
      <c r="A1603" s="169"/>
    </row>
    <row r="1604" ht="15.75" customHeight="1">
      <c r="A1604" s="169"/>
    </row>
    <row r="1605" ht="15.75" customHeight="1">
      <c r="A1605" s="169"/>
    </row>
    <row r="1606" ht="15.75" customHeight="1">
      <c r="A1606" s="169"/>
    </row>
    <row r="1607" ht="15.75" customHeight="1">
      <c r="A1607" s="169"/>
    </row>
    <row r="1608" ht="15.75" customHeight="1">
      <c r="A1608" s="169"/>
    </row>
    <row r="1609" ht="15.75" customHeight="1">
      <c r="A1609" s="169"/>
    </row>
    <row r="1610" ht="15.75" customHeight="1">
      <c r="A1610" s="169"/>
    </row>
    <row r="1611" ht="15.75" customHeight="1">
      <c r="A1611" s="169"/>
    </row>
    <row r="1612" ht="15.75" customHeight="1">
      <c r="A1612" s="169"/>
    </row>
    <row r="1613" ht="15.75" customHeight="1">
      <c r="A1613" s="169"/>
    </row>
    <row r="1614" ht="15.75" customHeight="1">
      <c r="A1614" s="169"/>
    </row>
    <row r="1615" ht="15.75" customHeight="1">
      <c r="A1615" s="169"/>
    </row>
    <row r="1616" ht="15.75" customHeight="1">
      <c r="A1616" s="169"/>
    </row>
    <row r="1617" ht="15.75" customHeight="1">
      <c r="A1617" s="169"/>
    </row>
    <row r="1618" ht="15.75" customHeight="1">
      <c r="A1618" s="169"/>
    </row>
    <row r="1619" ht="15.75" customHeight="1">
      <c r="A1619" s="169"/>
    </row>
    <row r="1620" ht="15.75" customHeight="1">
      <c r="A1620" s="169"/>
    </row>
    <row r="1621" ht="15.75" customHeight="1">
      <c r="A1621" s="169"/>
    </row>
    <row r="1622" ht="15.75" customHeight="1">
      <c r="A1622" s="169"/>
    </row>
    <row r="1623" ht="15.75" customHeight="1">
      <c r="A1623" s="169"/>
    </row>
    <row r="1624" ht="15.75" customHeight="1">
      <c r="A1624" s="169"/>
    </row>
    <row r="1625" ht="15.75" customHeight="1">
      <c r="A1625" s="169"/>
    </row>
    <row r="1626" ht="15.75" customHeight="1">
      <c r="A1626" s="169"/>
    </row>
    <row r="1627" ht="15.75" customHeight="1">
      <c r="A1627" s="169"/>
    </row>
    <row r="1628" ht="15.75" customHeight="1">
      <c r="A1628" s="169"/>
    </row>
    <row r="1629" ht="15.75" customHeight="1">
      <c r="A1629" s="169"/>
    </row>
    <row r="1630" ht="15.75" customHeight="1">
      <c r="A1630" s="169"/>
    </row>
    <row r="1631" ht="15.75" customHeight="1">
      <c r="A1631" s="169"/>
    </row>
    <row r="1632" ht="15.75" customHeight="1">
      <c r="A1632" s="169"/>
    </row>
    <row r="1633" ht="15.75" customHeight="1">
      <c r="A1633" s="169"/>
    </row>
    <row r="1634" ht="15.75" customHeight="1">
      <c r="A1634" s="169"/>
    </row>
    <row r="1635" ht="15.75" customHeight="1">
      <c r="A1635" s="169"/>
    </row>
    <row r="1636" ht="15.75" customHeight="1">
      <c r="A1636" s="169"/>
    </row>
    <row r="1637" ht="15.75" customHeight="1">
      <c r="A1637" s="169"/>
    </row>
    <row r="1638" ht="15.75" customHeight="1">
      <c r="A1638" s="169"/>
    </row>
    <row r="1639" ht="15.75" customHeight="1">
      <c r="A1639" s="169"/>
    </row>
    <row r="1640" ht="15.75" customHeight="1">
      <c r="A1640" s="169"/>
    </row>
    <row r="1641" ht="15.75" customHeight="1">
      <c r="A1641" s="169"/>
    </row>
    <row r="1642" ht="15.75" customHeight="1">
      <c r="A1642" s="169"/>
    </row>
    <row r="1643" ht="15.75" customHeight="1">
      <c r="A1643" s="169"/>
    </row>
    <row r="1644" ht="15.75" customHeight="1">
      <c r="A1644" s="169"/>
    </row>
    <row r="1645" ht="15.75" customHeight="1">
      <c r="A1645" s="169"/>
    </row>
    <row r="1646" ht="15.75" customHeight="1">
      <c r="A1646" s="169"/>
    </row>
    <row r="1647" ht="15.75" customHeight="1">
      <c r="A1647" s="169"/>
    </row>
    <row r="1648" ht="15.75" customHeight="1">
      <c r="A1648" s="169"/>
    </row>
    <row r="1649" ht="15.75" customHeight="1">
      <c r="A1649" s="169"/>
    </row>
    <row r="1650" ht="15.75" customHeight="1">
      <c r="A1650" s="169"/>
    </row>
    <row r="1651" ht="15.75" customHeight="1">
      <c r="A1651" s="169"/>
    </row>
    <row r="1652" ht="15.75" customHeight="1">
      <c r="A1652" s="169"/>
    </row>
    <row r="1653" ht="15.75" customHeight="1">
      <c r="A1653" s="169"/>
    </row>
    <row r="1654" ht="15.75" customHeight="1">
      <c r="A1654" s="169"/>
    </row>
    <row r="1655" ht="15.75" customHeight="1">
      <c r="A1655" s="169"/>
    </row>
    <row r="1656" ht="15.75" customHeight="1">
      <c r="A1656" s="169"/>
    </row>
    <row r="1657" ht="15.75" customHeight="1">
      <c r="A1657" s="169"/>
    </row>
    <row r="1658" ht="15.75" customHeight="1">
      <c r="A1658" s="169"/>
    </row>
    <row r="1659" ht="15.75" customHeight="1">
      <c r="A1659" s="169"/>
    </row>
    <row r="1660" ht="15.75" customHeight="1">
      <c r="A1660" s="169"/>
    </row>
    <row r="1661" ht="15.75" customHeight="1">
      <c r="A1661" s="169"/>
    </row>
    <row r="1662" ht="15.75" customHeight="1">
      <c r="A1662" s="169"/>
    </row>
    <row r="1663" ht="15.75" customHeight="1">
      <c r="A1663" s="169"/>
    </row>
    <row r="1664" ht="15.75" customHeight="1">
      <c r="A1664" s="169"/>
    </row>
    <row r="1665" ht="15.75" customHeight="1">
      <c r="A1665" s="169"/>
    </row>
    <row r="1666" ht="15.75" customHeight="1">
      <c r="A1666" s="169"/>
    </row>
    <row r="1667" ht="15.75" customHeight="1">
      <c r="A1667" s="169"/>
    </row>
    <row r="1668" ht="15.75" customHeight="1">
      <c r="A1668" s="169"/>
    </row>
    <row r="1669" ht="15.75" customHeight="1">
      <c r="A1669" s="169"/>
    </row>
    <row r="1670" ht="15.75" customHeight="1">
      <c r="A1670" s="169"/>
    </row>
    <row r="1671" ht="15.75" customHeight="1">
      <c r="A1671" s="169"/>
    </row>
    <row r="1672" ht="15.75" customHeight="1">
      <c r="A1672" s="169"/>
    </row>
    <row r="1673" ht="15.75" customHeight="1">
      <c r="A1673" s="169"/>
    </row>
    <row r="1674" ht="15.75" customHeight="1">
      <c r="A1674" s="169"/>
    </row>
    <row r="1675" ht="15.75" customHeight="1">
      <c r="A1675" s="169"/>
    </row>
    <row r="1676" ht="15.75" customHeight="1">
      <c r="A1676" s="169"/>
    </row>
    <row r="1677" ht="15.75" customHeight="1">
      <c r="A1677" s="169"/>
    </row>
    <row r="1678" ht="15.75" customHeight="1">
      <c r="A1678" s="169"/>
    </row>
    <row r="1679" ht="15.75" customHeight="1">
      <c r="A1679" s="169"/>
    </row>
    <row r="1680" ht="15.75" customHeight="1">
      <c r="A1680" s="169"/>
    </row>
    <row r="1681" ht="15.75" customHeight="1">
      <c r="A1681" s="169"/>
    </row>
    <row r="1682" ht="15.75" customHeight="1">
      <c r="A1682" s="169"/>
    </row>
    <row r="1683" ht="15.75" customHeight="1">
      <c r="A1683" s="169"/>
    </row>
    <row r="1684" ht="15.75" customHeight="1">
      <c r="A1684" s="169"/>
    </row>
    <row r="1685" ht="15.75" customHeight="1">
      <c r="A1685" s="169"/>
    </row>
    <row r="1686" ht="15.75" customHeight="1">
      <c r="A1686" s="169"/>
    </row>
    <row r="1687" ht="15.75" customHeight="1">
      <c r="A1687" s="169"/>
    </row>
    <row r="1688" ht="15.75" customHeight="1">
      <c r="A1688" s="169"/>
    </row>
    <row r="1689" ht="15.75" customHeight="1">
      <c r="A1689" s="169"/>
    </row>
    <row r="1690" ht="15.75" customHeight="1">
      <c r="A1690" s="169"/>
    </row>
    <row r="1691" ht="15.75" customHeight="1">
      <c r="A1691" s="169"/>
    </row>
    <row r="1692" ht="15.75" customHeight="1">
      <c r="A1692" s="169"/>
    </row>
    <row r="1693" ht="15.75" customHeight="1">
      <c r="A1693" s="169"/>
    </row>
    <row r="1694" ht="15.75" customHeight="1">
      <c r="A1694" s="169"/>
    </row>
    <row r="1695" ht="15.75" customHeight="1">
      <c r="A1695" s="169"/>
    </row>
    <row r="1696" ht="15.75" customHeight="1">
      <c r="A1696" s="169"/>
    </row>
    <row r="1697" ht="15.75" customHeight="1">
      <c r="A1697" s="169"/>
    </row>
    <row r="1698" ht="15.75" customHeight="1">
      <c r="A1698" s="169"/>
    </row>
    <row r="1699" ht="15.75" customHeight="1">
      <c r="A1699" s="169"/>
    </row>
    <row r="1700" ht="15.75" customHeight="1">
      <c r="A1700" s="169"/>
    </row>
    <row r="1701" ht="15.75" customHeight="1">
      <c r="A1701" s="169"/>
    </row>
    <row r="1702" ht="15.75" customHeight="1">
      <c r="A1702" s="169"/>
    </row>
    <row r="1703" ht="15.75" customHeight="1">
      <c r="A1703" s="169"/>
    </row>
    <row r="1704" ht="15.75" customHeight="1">
      <c r="A1704" s="169"/>
    </row>
    <row r="1705" ht="15.75" customHeight="1">
      <c r="A1705" s="169"/>
    </row>
    <row r="1706" ht="15.75" customHeight="1">
      <c r="A1706" s="169"/>
    </row>
    <row r="1707" ht="15.75" customHeight="1">
      <c r="A1707" s="169"/>
    </row>
    <row r="1708" ht="15.75" customHeight="1">
      <c r="A1708" s="169"/>
    </row>
    <row r="1709" ht="15.75" customHeight="1">
      <c r="A1709" s="169"/>
    </row>
    <row r="1710" ht="15.75" customHeight="1">
      <c r="A1710" s="169"/>
    </row>
    <row r="1711" ht="15.75" customHeight="1">
      <c r="A1711" s="169"/>
    </row>
    <row r="1712" ht="15.75" customHeight="1">
      <c r="A1712" s="169"/>
    </row>
    <row r="1713" ht="15.75" customHeight="1">
      <c r="A1713" s="169"/>
    </row>
    <row r="1714" ht="15.75" customHeight="1">
      <c r="A1714" s="169"/>
    </row>
    <row r="1715" ht="15.75" customHeight="1">
      <c r="A1715" s="169"/>
    </row>
    <row r="1716" ht="15.75" customHeight="1">
      <c r="A1716" s="169"/>
    </row>
    <row r="1717" ht="15.75" customHeight="1">
      <c r="A1717" s="169"/>
    </row>
    <row r="1718" ht="15.75" customHeight="1">
      <c r="A1718" s="169"/>
    </row>
    <row r="1719" ht="15.75" customHeight="1">
      <c r="A1719" s="169"/>
    </row>
    <row r="1720" ht="15.75" customHeight="1">
      <c r="A1720" s="169"/>
    </row>
    <row r="1721" ht="15.75" customHeight="1">
      <c r="A1721" s="169"/>
    </row>
    <row r="1722" ht="15.75" customHeight="1">
      <c r="A1722" s="169"/>
    </row>
    <row r="1723" ht="15.75" customHeight="1">
      <c r="A1723" s="169"/>
    </row>
    <row r="1724" ht="15.75" customHeight="1">
      <c r="A1724" s="169"/>
    </row>
    <row r="1725" ht="15.75" customHeight="1">
      <c r="A1725" s="169"/>
    </row>
    <row r="1726" ht="15.75" customHeight="1">
      <c r="A1726" s="169"/>
    </row>
    <row r="1727" ht="15.75" customHeight="1">
      <c r="A1727" s="169"/>
    </row>
    <row r="1728" ht="15.75" customHeight="1">
      <c r="A1728" s="169"/>
    </row>
    <row r="1729" ht="15.75" customHeight="1">
      <c r="A1729" s="169"/>
    </row>
  </sheetData>
  <dataValidations>
    <dataValidation type="list" allowBlank="1" showErrorMessage="1" sqref="B967">
      <formula1>"EM OBRAS,ENTREGUE,API"</formula1>
    </dataValidation>
    <dataValidation type="list" allowBlank="1" showErrorMessage="1" sqref="B966">
      <formula1>"IMPLANTAÇÃO,OPERAÇÃO"</formula1>
    </dataValidation>
    <dataValidation type="list" allowBlank="1" showErrorMessage="1" sqref="B742:B753">
      <formula1>"Atendida,Não atendida"</formula1>
    </dataValidation>
    <dataValidation type="list" allowBlank="1" showErrorMessage="1" sqref="B856 B968">
      <formula1>"SIM,NÃO"</formula1>
    </dataValidation>
  </dataValidations>
  <printOptions/>
  <pageMargins bottom="0.747916666666667" footer="0.0" header="0.0" left="0.984027777777778" right="0.984027777777778" top="0.747916666666667"/>
  <pageSetup fitToHeight="0" paperSize="8" orientation="landscape"/>
  <drawing r:id="rId1"/>
  <tableParts count="5">
    <tablePart r:id="rId7"/>
    <tablePart r:id="rId8"/>
    <tablePart r:id="rId9"/>
    <tablePart r:id="rId10"/>
    <tablePart r:id="rId11"/>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